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gistrar Projection" sheetId="2" state="visible" r:id="rId4"/>
    <sheet name="Backtest" sheetId="3" state="visible" r:id="rId5"/>
    <sheet name="Summary" sheetId="4" state="visible" r:id="rId6"/>
    <sheet name="Assumptions" sheetId="5" state="visible" r:id="rId7"/>
    <sheet name="Registrar Patterns" sheetId="6" state="visible" r:id="rId8"/>
    <sheet name="Combined Use" sheetId="7" state="visible" r:id="rId9"/>
    <sheet name="Finals Exam Blocks" sheetId="8" state="visible" r:id="rId10"/>
    <sheet name="Forecast" sheetId="9" state="visible" r:id="rId11"/>
    <sheet name="Current Fall Actual" sheetId="10" state="visible" r:id="rId12"/>
    <sheet name="Hourly Usage" sheetId="11" state="visible" r:id="rId13"/>
    <sheet name="Weekly History" sheetId="12" state="visible" r:id="rId14"/>
    <sheet name="Booking Lo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<sst xmlns="http://schemas.openxmlformats.org/spreadsheetml/2006/main" count="2230" uniqueCount="332">
  <si>
    <t xml:space="preserve">Room A Hourly Usage Forecast (8 AM - 5 PM)</t>
  </si>
  <si>
    <t xml:space="preserve">What this model forecasts</t>
  </si>
  <si>
    <t xml:space="preserve">For each quarter of Year 4, how much of each hour (8-9 AM through 4-5 PM) Room A is expected to be in use on each weekday of a typical week.</t>
  </si>
  <si>
    <t xml:space="preserve">100% = the room is booked for the whole hour; 50% = booked for half of it (e.g., a meeting starting at 12:30).</t>
  </si>
  <si>
    <t xml:space="preserve">How it works</t>
  </si>
  <si>
    <t xml:space="preserve">1. Booking Log: every booking from one full mid-quarter week per quarter in each of the last three years (Week 5; Week 4 in summer), with start and end times.</t>
  </si>
  <si>
    <t xml:space="preserve">2. Hourly Usage: the log is converted to the share of each hour that was booked, per year, quarter, and weekday. Overlapping bookings are capped at 100% of the hour.</t>
  </si>
  <si>
    <t xml:space="preserve">3. Forecast: a weighted average of the three years (20% / 30% / 50%), times (1 + growth), capped at 100%.</t>
  </si>
  <si>
    <t xml:space="preserve">4. current fall Actual: the same grid built from current fall Weeks 1, 2, and 4, so you can compare this fall with the forecast slot by slot.</t>
  </si>
  <si>
    <t xml:space="preserve">How to use</t>
  </si>
  <si>
    <t xml:space="preserve">Add bookings to the Booking Log (blue cells) to refine any quarter, e.g., a second sample week. Update the 'sample weeks' count on Assumptions to match.</t>
  </si>
  <si>
    <t xml:space="preserve">Set growth and year weights on Assumptions. The Forecast heatmaps and Summary update automatically.</t>
  </si>
  <si>
    <t xml:space="preserve">Legend</t>
  </si>
  <si>
    <t xml:space="preserve">Blue text = input you can edit</t>
  </si>
  <si>
    <t xml:space="preserve">Yellow fill = key assumption</t>
  </si>
  <si>
    <t xml:space="preserve">Black text = formula (do not overwrite)</t>
  </si>
  <si>
    <t xml:space="preserve">Green text = pulled from another tab</t>
  </si>
  <si>
    <t xml:space="preserve">Caveats</t>
  </si>
  <si>
    <t xml:space="preserve">Each quarter is represented by one sample week per year; most Room A bookings are weekly recurring meetings, so this reflects the regular pattern, not one-off events.</t>
  </si>
  <si>
    <t xml:space="preserve">current fall Week 3 (Course Event Week, 9 AM-5 PM full-day holds Mon-Thu) is left out of the 'typical week' actuals. Plan for that week as fully booked.</t>
  </si>
  <si>
    <t xml:space="preserve">Bookings before 8 AM or after 5 PM (e.g., 5-6 PM RA meetings, a 6-8 PM film screening) are in the log but fall outside the 8-5 grid.</t>
  </si>
  <si>
    <t xml:space="preserve">Source: department room-calendar export, anonymized (names, room, building, and dates removed).</t>
  </si>
  <si>
    <t xml:space="preserve">Registrar projection (new tabs)</t>
  </si>
  <si>
    <t xml:space="preserve">Registrar Patterns: each standard meeting pattern scored against the department forecast (worst-case use in any hour it touches). 'Open' = safe to schedule.</t>
  </si>
  <si>
    <t xml:space="preserve">Combined Use: heatmaps of department + Registrar use; black cells (&gt;100%) flag double-bookings.</t>
  </si>
  <si>
    <t xml:space="preserve">Finals Exam Blocks: three-hour exam blocks checked against finals-week department use.</t>
  </si>
  <si>
    <t xml:space="preserve">Registrar Projection: weekly and quarterly Registrar hours in the recommended scenario.</t>
  </si>
  <si>
    <t xml:space="preserve">Backtest (new tab)</t>
  </si>
  <si>
    <t xml:space="preserve">Forecasts Year 3 from Years 1-2 only and scores it against Year 3 actuals (weekly bookings, weekly hours, and hourly busy/open), compared with a naive 'same as last year' forecast.</t>
  </si>
  <si>
    <t xml:space="preserve">All names, room numbers, building, and calendar dates have been removed. Labs and courses are labeled generically (Lab A, Course 1).</t>
  </si>
  <si>
    <t xml:space="preserve">Recommended scenario: Registrar classes in the lowest-conflict standard patterns ('Open' + 'Check first'), plus open finals exam blocks. Edit assignments on the Registrar Patterns tab.</t>
  </si>
  <si>
    <t xml:space="preserve">Quarter</t>
  </si>
  <si>
    <t xml:space="preserve">Dept hours / week (forecast)</t>
  </si>
  <si>
    <t xml:space="preserve">Registrar class hours / week</t>
  </si>
  <si>
    <t xml:space="preserve">Combined hours / week</t>
  </si>
  <si>
    <t xml:space="preserve">Combined utilization (of 45)</t>
  </si>
  <si>
    <t xml:space="preserve">Registrar patterns assigned</t>
  </si>
  <si>
    <t xml:space="preserve">Registrar class hours / quarter</t>
  </si>
  <si>
    <t xml:space="preserve">Open finals exam blocks</t>
  </si>
  <si>
    <t xml:space="preserve">Registrar exam hours</t>
  </si>
  <si>
    <t xml:space="preserve">Total Registrar hours / quarter</t>
  </si>
  <si>
    <t xml:space="preserve">Hour-slots over 100% (check for clashes)</t>
  </si>
  <si>
    <t xml:space="preserve">Fall</t>
  </si>
  <si>
    <t xml:space="preserve">Winter</t>
  </si>
  <si>
    <t xml:space="preserve">Spring</t>
  </si>
  <si>
    <t xml:space="preserve">Summer</t>
  </si>
  <si>
    <t xml:space="preserve">Full year</t>
  </si>
  <si>
    <t xml:space="preserve">Notes</t>
  </si>
  <si>
    <t xml:space="preserve">Department use is the hourly forecast; Registrar hours are scheduled class meetings in the assigned standard patterns.</t>
  </si>
  <si>
    <t xml:space="preserve">Many universities ask departments to limit classes starting in the 10:30 AM-2:30 PM peak; Room A's open time sits mostly outside that peak, which suits Registrar scheduling.</t>
  </si>
  <si>
    <t xml:space="preserve">Course Event Week (Fall Wk 3) fills 9 AM-5 PM Mon-Thu; any Registrar class in Room A would need another room that week.</t>
  </si>
  <si>
    <t xml:space="preserve">current fall is running ~20% below the department forecast, mainly Mon-Thu mornings. Against this fall's actual bookings, TTh 9:00-10:20 and MW 10:30-11:50 are completely free (Registrar Patterns, columns V-W).</t>
  </si>
  <si>
    <t xml:space="preserve">The current fall class schedule is already set, so Winter and Spring are the quarters where this projection can shape Registrar requests.</t>
  </si>
  <si>
    <t xml:space="preserve">Summer shows the most open time; treat its figure as a ceiling, since Summer Session demand for rooms is lower.</t>
  </si>
  <si>
    <t xml:space="preserve">Combined use over 100% in an hour means a historical department booking sat there in some years; confirm the slot with the department before the Registrar books it.</t>
  </si>
  <si>
    <t xml:space="preserve">Backtest: forecast Year 3 using only Years 1-2, then compare with what actually happened</t>
  </si>
  <si>
    <t xml:space="preserve">Model = weighted average of Years 1 and 2 (same method as the live forecast). Naive = 'same as last year' (Year 2). A useful model should beat naive.</t>
  </si>
  <si>
    <t xml:space="preserve">Hourly backtest: share of each hour booked (typical week), Year 3 actual vs model (Years 1-2)</t>
  </si>
  <si>
    <t xml:space="preserve">Day</t>
  </si>
  <si>
    <t xml:space="preserve">Hour</t>
  </si>
  <si>
    <t xml:space="preserve">Actual Y3</t>
  </si>
  <si>
    <t xml:space="preserve">Model</t>
  </si>
  <si>
    <t xml:space="preserve">Naive</t>
  </si>
  <si>
    <t xml:space="preserve">Model abs err</t>
  </si>
  <si>
    <t xml:space="preserve">Naive abs err</t>
  </si>
  <si>
    <t xml:space="preserve">Model busy?</t>
  </si>
  <si>
    <t xml:space="preserve">Actual busy?</t>
  </si>
  <si>
    <t xml:space="preserve">Model correct</t>
  </si>
  <si>
    <t xml:space="preserve">Naive correct</t>
  </si>
  <si>
    <t xml:space="preserve">Backtest weights</t>
  </si>
  <si>
    <t xml:space="preserve">Mon</t>
  </si>
  <si>
    <t xml:space="preserve">8-9 AM</t>
  </si>
  <si>
    <t xml:space="preserve">Weight Year 1</t>
  </si>
  <si>
    <t xml:space="preserve">Same 40/60 recent-weighting idea as the live 20/30/50, scaled to two years</t>
  </si>
  <si>
    <t xml:space="preserve">9-10 AM</t>
  </si>
  <si>
    <t xml:space="preserve">Weight Year 2</t>
  </si>
  <si>
    <t xml:space="preserve">10-11 AM</t>
  </si>
  <si>
    <t xml:space="preserve">'Busy hour' threshold</t>
  </si>
  <si>
    <t xml:space="preserve">11 AM-12 PM</t>
  </si>
  <si>
    <t xml:space="preserve">12-1 PM</t>
  </si>
  <si>
    <t xml:space="preserve">Headline accuracy</t>
  </si>
  <si>
    <t xml:space="preserve">1-2 PM</t>
  </si>
  <si>
    <t xml:space="preserve">Metric</t>
  </si>
  <si>
    <t xml:space="preserve">Naive (last year)</t>
  </si>
  <si>
    <t xml:space="preserve">What it means</t>
  </si>
  <si>
    <t xml:space="preserve">2-3 PM</t>
  </si>
  <si>
    <t xml:space="preserve">Weekly bookings: WAPE (total abs error / total actual)</t>
  </si>
  <si>
    <t xml:space="preserve">Typical miss on a weekly booking count, as a share of actual volume</t>
  </si>
  <si>
    <t xml:space="preserve">3-4 PM</t>
  </si>
  <si>
    <t xml:space="preserve">Weekly bookings: mean abs error (bookings/week)</t>
  </si>
  <si>
    <t xml:space="preserve">Average miss per week, in bookings</t>
  </si>
  <si>
    <t xml:space="preserve">4-5 PM</t>
  </si>
  <si>
    <t xml:space="preserve">Year 3 total bookings: forecast vs actual</t>
  </si>
  <si>
    <t xml:space="preserve">Annual bias; positive = over-forecast</t>
  </si>
  <si>
    <t xml:space="preserve">Tue</t>
  </si>
  <si>
    <t xml:space="preserve">Weekly hours: WAPE</t>
  </si>
  <si>
    <t xml:space="preserve">Typical miss on weekly hours used</t>
  </si>
  <si>
    <t xml:space="preserve">Year 3 total hours: forecast vs actual</t>
  </si>
  <si>
    <t xml:space="preserve">Annual bias on hours</t>
  </si>
  <si>
    <t xml:space="preserve">Hourly: mean abs error (share of hour)</t>
  </si>
  <si>
    <t xml:space="preserve">Average miss per hour-slot, in percentage points of the hour</t>
  </si>
  <si>
    <t xml:space="preserve">Hourly: busy/open called correctly</t>
  </si>
  <si>
    <t xml:space="preserve">Share of 180 weekday hour-slots where the model correctly predicted busy (&gt;= threshold) vs open</t>
  </si>
  <si>
    <t xml:space="preserve">Note: hourly backtest uses one sampled mid-quarter week per quarter per year, so it measures how well the recurring weekly pattern carries over year to year.</t>
  </si>
  <si>
    <t xml:space="preserve">Live check: the current fall's actual weeks are tracked on the 'Current Fall Actual' tab.</t>
  </si>
  <si>
    <t xml:space="preserve">Wed</t>
  </si>
  <si>
    <t xml:space="preserve">Week</t>
  </si>
  <si>
    <t xml:space="preserve">Actual Y3 bookings</t>
  </si>
  <si>
    <t xml:space="preserve">Model forecast</t>
  </si>
  <si>
    <t xml:space="preserve">Naive forecast</t>
  </si>
  <si>
    <t xml:space="preserve">Model abs error</t>
  </si>
  <si>
    <t xml:space="preserve">Naive abs error</t>
  </si>
  <si>
    <t xml:space="preserve">Actual Y3 hours</t>
  </si>
  <si>
    <t xml:space="preserve">Model hours</t>
  </si>
  <si>
    <t xml:space="preserve">Naive hours</t>
  </si>
  <si>
    <t xml:space="preserve">Model abs error (hrs)</t>
  </si>
  <si>
    <t xml:space="preserve">Naive abs error (hrs)</t>
  </si>
  <si>
    <t xml:space="preserve">Thu</t>
  </si>
  <si>
    <t xml:space="preserve">Fri</t>
  </si>
  <si>
    <t xml:space="preserve">Typical-week hours booked (8-5)</t>
  </si>
  <si>
    <t xml:space="preserve">Room utilization (of 45 hrs)</t>
  </si>
  <si>
    <t xml:space="preserve">Busy hour-slots per week</t>
  </si>
  <si>
    <t xml:space="preserve">Busiest hour of day</t>
  </si>
  <si>
    <t xml:space="preserve">Avg use in busiest hour</t>
  </si>
  <si>
    <t xml:space="preserve">Quietest hour of day</t>
  </si>
  <si>
    <t xml:space="preserve">Free hours per week</t>
  </si>
  <si>
    <t xml:space="preserve">Average use by hour of day (all weekdays)</t>
  </si>
  <si>
    <t xml:space="preserve">current fall check: typical-week hours actual vs forecast</t>
  </si>
  <si>
    <t xml:space="preserve">Actual (Wks 1, 2, 4 average)</t>
  </si>
  <si>
    <t xml:space="preserve">Forecast</t>
  </si>
  <si>
    <t xml:space="preserve">Difference</t>
  </si>
  <si>
    <t xml:space="preserve">Assumptions</t>
  </si>
  <si>
    <t xml:space="preserve">Assumption</t>
  </si>
  <si>
    <t xml:space="preserve">Value</t>
  </si>
  <si>
    <t xml:space="preserve">Forecast year</t>
  </si>
  <si>
    <t xml:space="preserve">Year 4</t>
  </si>
  <si>
    <t xml:space="preserve">Growth in usage</t>
  </si>
  <si>
    <t xml:space="preserve">Scales every hourly forecast; results are capped at 100%</t>
  </si>
  <si>
    <t xml:space="preserve">Weight: Year 1</t>
  </si>
  <si>
    <t xml:space="preserve">Weight: Year 2</t>
  </si>
  <si>
    <t xml:space="preserve">Weight: Year 3</t>
  </si>
  <si>
    <t xml:space="preserve">Most recent year weighted highest</t>
  </si>
  <si>
    <t xml:space="preserve">Sample weeks per quarter-year in the log</t>
  </si>
  <si>
    <t xml:space="preserve">Usage is divided by this; raise it if you add more sample weeks per quarter</t>
  </si>
  <si>
    <t xml:space="preserve">current fall weeks in the actual log</t>
  </si>
  <si>
    <t xml:space="preserve">Weeks of Sep 21, Sep 28, Oct 12 (Course Event Week excluded)</t>
  </si>
  <si>
    <t xml:space="preserve">Hour slots at or above this share booked count as busy</t>
  </si>
  <si>
    <t xml:space="preserve">Registrar projection settings</t>
  </si>
  <si>
    <t xml:space="preserve">Setting</t>
  </si>
  <si>
    <t xml:space="preserve">'Open': expected department use at or below</t>
  </si>
  <si>
    <t xml:space="preserve">Expected = average projected department use across the minutes the pattern covers</t>
  </si>
  <si>
    <t xml:space="preserve">...and worst-case hour at or below</t>
  </si>
  <si>
    <t xml:space="preserve">Worst-case = highest projected use in any hour the pattern touches</t>
  </si>
  <si>
    <t xml:space="preserve">'Check first': expected department use at or below</t>
  </si>
  <si>
    <t xml:space="preserve">Some weeks may clash; confirm with the department before booking</t>
  </si>
  <si>
    <t xml:space="preserve">Instruction weeks per quarter (Fall/Winter/Spring)</t>
  </si>
  <si>
    <t xml:space="preserve">10 weeks of instruction</t>
  </si>
  <si>
    <t xml:space="preserve">Instruction weeks, Summer</t>
  </si>
  <si>
    <t xml:space="preserve">Summer quarter</t>
  </si>
  <si>
    <t xml:space="preserve">Room seats</t>
  </si>
  <si>
    <t xml:space="preserve">Fits seminars, discussion sections, and small exams</t>
  </si>
  <si>
    <t xml:space="preserve">Registrar Standard Meeting Patterns vs. Projected Department Use</t>
  </si>
  <si>
    <t xml:space="preserve">Expected = average projected department use over the minutes the pattern covers. Worst-case = busiest hour it touches. Assign = 1 adds the pattern to the Registrar projection (recommended scenario shown; change freely).</t>
  </si>
  <si>
    <t xml:space="preserve">Pattern</t>
  </si>
  <si>
    <t xml:space="preserve">Days</t>
  </si>
  <si>
    <t xml:space="preserve">Start</t>
  </si>
  <si>
    <t xml:space="preserve">End</t>
  </si>
  <si>
    <t xml:space="preserve">Hours / week</t>
  </si>
  <si>
    <t xml:space="preserve">Fall expected</t>
  </si>
  <si>
    <t xml:space="preserve">Fall worst-case</t>
  </si>
  <si>
    <t xml:space="preserve">Fall status</t>
  </si>
  <si>
    <t xml:space="preserve">Fall assign (1/0)</t>
  </si>
  <si>
    <t xml:space="preserve">Winter expected</t>
  </si>
  <si>
    <t xml:space="preserve">Winter worst-case</t>
  </si>
  <si>
    <t xml:space="preserve">Winter status</t>
  </si>
  <si>
    <t xml:space="preserve">Winter assign (1/0)</t>
  </si>
  <si>
    <t xml:space="preserve">Spring expected</t>
  </si>
  <si>
    <t xml:space="preserve">Spring worst-case</t>
  </si>
  <si>
    <t xml:space="preserve">Spring status</t>
  </si>
  <si>
    <t xml:space="preserve">Spring assign (1/0)</t>
  </si>
  <si>
    <t xml:space="preserve">Summer expected</t>
  </si>
  <si>
    <t xml:space="preserve">Summer worst-case</t>
  </si>
  <si>
    <t xml:space="preserve">Summer status</t>
  </si>
  <si>
    <t xml:space="preserve">Summer assign (1/0)</t>
  </si>
  <si>
    <t xml:space="preserve">current fall actual: expected use</t>
  </si>
  <si>
    <t xml:space="preserve">current fall actual: worst-case</t>
  </si>
  <si>
    <t xml:space="preserve">MWF 50 min</t>
  </si>
  <si>
    <t xml:space="preserve">Mon,Wed,Fri</t>
  </si>
  <si>
    <t xml:space="preserve">TTh 80 min</t>
  </si>
  <si>
    <t xml:space="preserve">Tue,Thu</t>
  </si>
  <si>
    <t xml:space="preserve">MW 80 min</t>
  </si>
  <si>
    <t xml:space="preserve">Mon,Wed</t>
  </si>
  <si>
    <t xml:space="preserve">Weekly seminar 170 min</t>
  </si>
  <si>
    <t xml:space="preserve">Patterns follow a typical university standard meeting-time grid (edit to match your institution). Patterns ending after 5 PM are only checked for the part before 5 PM.</t>
  </si>
  <si>
    <t xml:space="preserve">Recommended scenario: 'Open' and 'Check first' patterns with the lowest expected department use that don't overlap each other. 'Check first' patterns should be confirmed with the department.</t>
  </si>
  <si>
    <t xml:space="preserve">Columns V-W score each pattern against current fall's actual bookings (Wks 1, 2, 4), showing what is open right now.</t>
  </si>
  <si>
    <t xml:space="preserve">Projected Combined Use: Department + Registrar (typical week)</t>
  </si>
  <si>
    <t xml:space="preserve">Department forecast plus the Registrar patterns assigned on the Registrar Patterns tab. Over 100% = a likely double-booking to resolve.</t>
  </si>
  <si>
    <t xml:space="preserve">Fall quarter</t>
  </si>
  <si>
    <t xml:space="preserve">Registrar hrs</t>
  </si>
  <si>
    <t xml:space="preserve">Total hours</t>
  </si>
  <si>
    <t xml:space="preserve">Free hours (of 9)</t>
  </si>
  <si>
    <t xml:space="preserve">Total</t>
  </si>
  <si>
    <t xml:space="preserve">hour-slots where combined use tops 100% (possible clash; confirm)</t>
  </si>
  <si>
    <t xml:space="preserve">Winter quarter</t>
  </si>
  <si>
    <t xml:space="preserve">Spring quarter</t>
  </si>
  <si>
    <t xml:space="preserve">Finals Week: Registrar Exam Blocks vs. Projected Department Use</t>
  </si>
  <si>
    <t xml:space="preserve">Department use during finals week is estimated as the typical-week forecast x the finals-week ratio below (finals weeks historically have fewer Room A bookings).</t>
  </si>
  <si>
    <t xml:space="preserve">Avg bookings, finals week (3 yrs)</t>
  </si>
  <si>
    <t xml:space="preserve">Avg bookings, instruction week (3 yrs)</t>
  </si>
  <si>
    <t xml:space="preserve">Finals-week ratio</t>
  </si>
  <si>
    <t xml:space="preserve">Source: Room A weekly booking counts, Years 1-3 (finals week vs. Weeks 1-10).</t>
  </si>
  <si>
    <t xml:space="preserve">Exam block</t>
  </si>
  <si>
    <t xml:space="preserve">Morning</t>
  </si>
  <si>
    <t xml:space="preserve">Midday</t>
  </si>
  <si>
    <t xml:space="preserve">Afternoon</t>
  </si>
  <si>
    <t xml:space="preserve">Three-hour exam blocks; times are typical and editable. Afternoon block is checked only up to 5 PM.</t>
  </si>
  <si>
    <t xml:space="preserve">Fall finals week: projected department use in each exam block (worst hour)</t>
  </si>
  <si>
    <t xml:space="preserve">Open blocks (at or below the Open threshold)</t>
  </si>
  <si>
    <t xml:space="preserve">Total open</t>
  </si>
  <si>
    <t xml:space="preserve">Winter finals week: projected department use in each exam block (worst hour)</t>
  </si>
  <si>
    <t xml:space="preserve">Spring finals week: projected department use in each exam block (worst hour)</t>
  </si>
  <si>
    <t xml:space="preserve">Summer finals are not shown. </t>
  </si>
  <si>
    <t xml:space="preserve">Share of each hour expected to be booked in a typical week. Darker = busier.</t>
  </si>
  <si>
    <t xml:space="preserve">Busy hours</t>
  </si>
  <si>
    <t xml:space="preserve">Hours booked</t>
  </si>
  <si>
    <t xml:space="preserve">Avg</t>
  </si>
  <si>
    <t xml:space="preserve">current fall Actual Hourly Usage vs Forecast (typical week)</t>
  </si>
  <si>
    <t xml:space="preserve">Average of current fall Weeks 1, 2, and 4 (Course Event Week excluded). Difference = actual minus forecast; red = less used than forecast.</t>
  </si>
  <si>
    <t xml:space="preserve">Year</t>
  </si>
  <si>
    <t xml:space="preserve">Difference: actual minus forecast (share of hour)</t>
  </si>
  <si>
    <t xml:space="preserve">Hours difference</t>
  </si>
  <si>
    <t xml:space="preserve">Course Event Week (Fall Wk 3): Room A held 9 AM-5 PM Mon-Thu, so every 9-5 slot those days was 100% booked.</t>
  </si>
  <si>
    <t xml:space="preserve">Historical Hourly Usage (share of each hour booked, typical week)</t>
  </si>
  <si>
    <t xml:space="preserve">Hours booked (8-5)</t>
  </si>
  <si>
    <t xml:space="preserve">Year 1</t>
  </si>
  <si>
    <t xml:space="preserve">Year 2</t>
  </si>
  <si>
    <t xml:space="preserve">Year 3</t>
  </si>
  <si>
    <t xml:space="preserve">Weekly Bookings, Years 1-3 (every academic week)</t>
  </si>
  <si>
    <t xml:space="preserve">Bookings Year 1</t>
  </si>
  <si>
    <t xml:space="preserve">Bookings Year 2</t>
  </si>
  <si>
    <t xml:space="preserve">Bookings Year 3</t>
  </si>
  <si>
    <t xml:space="preserve">Hours Year 1</t>
  </si>
  <si>
    <t xml:space="preserve">Hours Year 2</t>
  </si>
  <si>
    <t xml:space="preserve">Hours Year 3</t>
  </si>
  <si>
    <t xml:space="preserve">Average hours per booking (sampled mid-quarter week)</t>
  </si>
  <si>
    <t xml:space="preserve">Fall Wk 1</t>
  </si>
  <si>
    <t xml:space="preserve">Hours in sample</t>
  </si>
  <si>
    <t xml:space="preserve">Avg hrs / booking</t>
  </si>
  <si>
    <t xml:space="preserve">Bookings in sample</t>
  </si>
  <si>
    <t xml:space="preserve">Fall Wk 2</t>
  </si>
  <si>
    <t xml:space="preserve">Fall Wk 3</t>
  </si>
  <si>
    <t xml:space="preserve">Fall Wk 4</t>
  </si>
  <si>
    <t xml:space="preserve">Fall Wk 5</t>
  </si>
  <si>
    <t xml:space="preserve">Fall Wk 6</t>
  </si>
  <si>
    <t xml:space="preserve">Fall Wk 7</t>
  </si>
  <si>
    <t xml:space="preserve">Fall Wk 8</t>
  </si>
  <si>
    <t xml:space="preserve">Fall Wk 9</t>
  </si>
  <si>
    <t xml:space="preserve">Fall Thanksgiving</t>
  </si>
  <si>
    <t xml:space="preserve">Fall Wk 10</t>
  </si>
  <si>
    <t xml:space="preserve">Fall Finals</t>
  </si>
  <si>
    <t xml:space="preserve">Winter Wk 1</t>
  </si>
  <si>
    <t xml:space="preserve">Winter Wk 2</t>
  </si>
  <si>
    <t xml:space="preserve">Winter Wk 3</t>
  </si>
  <si>
    <t xml:space="preserve">Winter Wk 4</t>
  </si>
  <si>
    <t xml:space="preserve">Winter Wk 5</t>
  </si>
  <si>
    <t xml:space="preserve">Winter Wk 6</t>
  </si>
  <si>
    <t xml:space="preserve">Winter Wk 7</t>
  </si>
  <si>
    <t xml:space="preserve">Winter Wk 8</t>
  </si>
  <si>
    <t xml:space="preserve">Winter Wk 9</t>
  </si>
  <si>
    <t xml:space="preserve">Winter Wk 10</t>
  </si>
  <si>
    <t xml:space="preserve">Winter Finals</t>
  </si>
  <si>
    <t xml:space="preserve">Spring Wk 1</t>
  </si>
  <si>
    <t xml:space="preserve">Spring Wk 2</t>
  </si>
  <si>
    <t xml:space="preserve">Spring Wk 3</t>
  </si>
  <si>
    <t xml:space="preserve">Spring Wk 4</t>
  </si>
  <si>
    <t xml:space="preserve">Spring Wk 5</t>
  </si>
  <si>
    <t xml:space="preserve">Spring Wk 6</t>
  </si>
  <si>
    <t xml:space="preserve">Spring Wk 7</t>
  </si>
  <si>
    <t xml:space="preserve">Spring Wk 8</t>
  </si>
  <si>
    <t xml:space="preserve">Spring Wk 9</t>
  </si>
  <si>
    <t xml:space="preserve">Spring Wk 10</t>
  </si>
  <si>
    <t xml:space="preserve">Spring Finals</t>
  </si>
  <si>
    <t xml:space="preserve">Summer Wk 1</t>
  </si>
  <si>
    <t xml:space="preserve">Summer Wk 2</t>
  </si>
  <si>
    <t xml:space="preserve">Summer Wk 3</t>
  </si>
  <si>
    <t xml:space="preserve">Summer Wk 4</t>
  </si>
  <si>
    <t xml:space="preserve">Summer Wk 5</t>
  </si>
  <si>
    <t xml:space="preserve">Summer Wk 6</t>
  </si>
  <si>
    <t xml:space="preserve">Summer Wk 7</t>
  </si>
  <si>
    <t xml:space="preserve">Summer Wk 8</t>
  </si>
  <si>
    <t xml:space="preserve">Booking Log: Room A sample weeks</t>
  </si>
  <si>
    <t xml:space="preserve">Times are clock times. Add rows below the last entry (formulas read rows 4-400).</t>
  </si>
  <si>
    <t xml:space="preserve">Sample week</t>
  </si>
  <si>
    <t xml:space="preserve">Booking</t>
  </si>
  <si>
    <t xml:space="preserve">Hours</t>
  </si>
  <si>
    <t xml:space="preserve">Wk 5 (Wk 4 summer)</t>
  </si>
  <si>
    <t xml:space="preserve">Course 1 (grad proseminar)</t>
  </si>
  <si>
    <t xml:space="preserve">Committee meeting</t>
  </si>
  <si>
    <t xml:space="preserve">Lab A</t>
  </si>
  <si>
    <t xml:space="preserve">Lab B</t>
  </si>
  <si>
    <t xml:space="preserve">Lab C</t>
  </si>
  <si>
    <t xml:space="preserve">Individual meeting</t>
  </si>
  <si>
    <t xml:space="preserve">Brownbag series</t>
  </si>
  <si>
    <t xml:space="preserve">Lab D</t>
  </si>
  <si>
    <t xml:space="preserve">Faculty meeting</t>
  </si>
  <si>
    <t xml:space="preserve">Lab E</t>
  </si>
  <si>
    <t xml:space="preserve">Seminar series A</t>
  </si>
  <si>
    <t xml:space="preserve">Lab F</t>
  </si>
  <si>
    <t xml:space="preserve">Intro course staff meeting</t>
  </si>
  <si>
    <t xml:space="preserve">Seminar series B</t>
  </si>
  <si>
    <t xml:space="preserve">Course 2 (seminar)</t>
  </si>
  <si>
    <t xml:space="preserve">Lab G</t>
  </si>
  <si>
    <t xml:space="preserve">Intro course section</t>
  </si>
  <si>
    <t xml:space="preserve">Course 3 (evening film screening)</t>
  </si>
  <si>
    <t xml:space="preserve">Lab H</t>
  </si>
  <si>
    <t xml:space="preserve">Lab I</t>
  </si>
  <si>
    <t xml:space="preserve">Summer program</t>
  </si>
  <si>
    <t xml:space="preserve">Intro course coffee chat</t>
  </si>
  <si>
    <t xml:space="preserve">Lab J</t>
  </si>
  <si>
    <t xml:space="preserve">Workshop</t>
  </si>
  <si>
    <t xml:space="preserve">Lab K</t>
  </si>
  <si>
    <t xml:space="preserve">Journal club</t>
  </si>
  <si>
    <t xml:space="preserve">Open Q&amp;A session</t>
  </si>
  <si>
    <t xml:space="preserve">Lab L</t>
  </si>
  <si>
    <t xml:space="preserve">Lab M</t>
  </si>
  <si>
    <t xml:space="preserve">Dissertation defense</t>
  </si>
  <si>
    <t xml:space="preserve">Lab N</t>
  </si>
  <si>
    <t xml:space="preserve">Wk 1</t>
  </si>
  <si>
    <t xml:space="preserve">Lab O</t>
  </si>
  <si>
    <t xml:space="preserve">Wk 2</t>
  </si>
  <si>
    <t xml:space="preserve">Wk 4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</si>
</sst>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0%"/>
    <numFmt numFmtId="167" formatCode="0"/>
    <numFmt numFmtId="168" formatCode="#,##0"/>
    <numFmt numFmtId="169" formatCode="0.0%"/>
    <numFmt numFmtId="170" formatCode="\+0.0%;\-0.0%"/>
    <numFmt numFmtId="171" formatCode="h:mm\ AM/PM"/>
    <numFmt numFmtId="172" formatCode="0.00"/>
    <numFmt numFmtId="173" formatCode="\+0%;\-0%;0%"/>
    <numFmt numFmtId="174" formatCode="\+0.0;\-0.0;0.0"/>
    <numFmt numFmtId="175" formatCode="mmm\ d&quot;, &quot;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80808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2CC"/>
      </patternFill>
    </fill>
    <fill>
      <patternFill patternType="solid">
        <fgColor rgb="FF8C1515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C1515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003366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Typical week: Department vs. Registrar hours in Room 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'Registrar Projection'!B4</c:f>
              <c:strCache>
                <c:ptCount val="1"/>
                <c:pt idx="0">
                  <c:v>Dept hours / week (forecast)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'Registrar Projection'!$A$5:$A$8</c:f>
              <c:strCache>
                <c:ptCount val="4"/>
                <c:pt idx="0">
                  <c:v>Fall</c:v>
                </c:pt>
                <c:pt idx="1">
                  <c:v>Winter</c:v>
                </c:pt>
                <c:pt idx="2">
                  <c:v>Spring</c:v>
                </c:pt>
                <c:pt idx="3">
                  <c:v>Summer</c:v>
                </c:pt>
              </c:strCache>
            </c:strRef>
          </c:cat>
          <c:val>
            <c:numRef>
              <c:f>'Registrar Projection'!$B$5:$B$8</c:f>
              <c:numCache>
                <c:formatCode>0.0</c:formatCode>
                <c:ptCount val="4"/>
                <c:pt idx="0">
                  <c:v>19.9833333333333</c:v>
                </c:pt>
                <c:pt idx="1">
                  <c:v>19.5166666666667</c:v>
                </c:pt>
                <c:pt idx="2">
                  <c:v>18.375</c:v>
                </c:pt>
                <c:pt idx="3">
                  <c:v>11.25</c:v>
                </c:pt>
              </c:numCache>
            </c:numRef>
          </c:val>
        </c:ser>
        <c:ser>
          <c:idx val="1"/>
          <c:order val="1"/>
          <c:tx>
            <c:strRef>
              <c:f>'Registrar Projection'!C4</c:f>
              <c:strCache>
                <c:ptCount val="1"/>
                <c:pt idx="0">
                  <c:v>Registrar class hours / week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'Registrar Projection'!$A$5:$A$8</c:f>
              <c:strCache>
                <c:ptCount val="4"/>
                <c:pt idx="0">
                  <c:v>Fall</c:v>
                </c:pt>
                <c:pt idx="1">
                  <c:v>Winter</c:v>
                </c:pt>
                <c:pt idx="2">
                  <c:v>Spring</c:v>
                </c:pt>
                <c:pt idx="3">
                  <c:v>Summer</c:v>
                </c:pt>
              </c:strCache>
            </c:strRef>
          </c:cat>
          <c:val>
            <c:numRef>
              <c:f>'Registrar Projection'!$C$5:$C$8</c:f>
              <c:numCache>
                <c:formatCode>0.0</c:formatCode>
                <c:ptCount val="4"/>
                <c:pt idx="0">
                  <c:v>12.8333333333333</c:v>
                </c:pt>
                <c:pt idx="1">
                  <c:v>10.5</c:v>
                </c:pt>
                <c:pt idx="2">
                  <c:v>15.5</c:v>
                </c:pt>
                <c:pt idx="3">
                  <c:v>26.5</c:v>
                </c:pt>
              </c:numCache>
            </c:numRef>
          </c:val>
        </c:ser>
        <c:gapWidth val="150"/>
        <c:overlap val="100"/>
        <c:axId val="20921664"/>
        <c:axId val="3195087"/>
      </c:barChart>
      <c:catAx>
        <c:axId val="2092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5087"/>
        <c:crosses val="autoZero"/>
        <c:auto val="1"/>
        <c:lblAlgn val="ctr"/>
        <c:lblOffset val="100"/>
        <c:noMultiLvlLbl val="0"/>
      </c:catAx>
      <c:valAx>
        <c:axId val="3195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 per week (of 45)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21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Backtest: Year 3 weekly bookings, actual vs model vs naive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Backtest!C24</c:f>
              <c:strCache>
                <c:ptCount val="1"/>
                <c:pt idx="0">
                  <c:v>Actual Y3 bookings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Backtest!$B$25:$B$66</c:f>
              <c:strCache>
                <c:ptCount val="42"/>
                <c:pt idx="0">
                  <c:v>Fall Wk 1</c:v>
                </c:pt>
                <c:pt idx="1">
                  <c:v>Fall Wk 2</c:v>
                </c:pt>
                <c:pt idx="2">
                  <c:v>Fall Wk 3</c:v>
                </c:pt>
                <c:pt idx="3">
                  <c:v>Fall Wk 4</c:v>
                </c:pt>
                <c:pt idx="4">
                  <c:v>Fall Wk 5</c:v>
                </c:pt>
                <c:pt idx="5">
                  <c:v>Fall Wk 6</c:v>
                </c:pt>
                <c:pt idx="6">
                  <c:v>Fall Wk 7</c:v>
                </c:pt>
                <c:pt idx="7">
                  <c:v>Fall Wk 8</c:v>
                </c:pt>
                <c:pt idx="8">
                  <c:v>Fall Wk 9</c:v>
                </c:pt>
                <c:pt idx="9">
                  <c:v>Fall Thanksgiving</c:v>
                </c:pt>
                <c:pt idx="10">
                  <c:v>Fall Wk 10</c:v>
                </c:pt>
                <c:pt idx="11">
                  <c:v>Fall Finals</c:v>
                </c:pt>
                <c:pt idx="12">
                  <c:v>Winter Wk 1</c:v>
                </c:pt>
                <c:pt idx="13">
                  <c:v>Winter Wk 2</c:v>
                </c:pt>
                <c:pt idx="14">
                  <c:v>Winter Wk 3</c:v>
                </c:pt>
                <c:pt idx="15">
                  <c:v>Winter Wk 4</c:v>
                </c:pt>
                <c:pt idx="16">
                  <c:v>Winter Wk 5</c:v>
                </c:pt>
                <c:pt idx="17">
                  <c:v>Winter Wk 6</c:v>
                </c:pt>
                <c:pt idx="18">
                  <c:v>Winter Wk 7</c:v>
                </c:pt>
                <c:pt idx="19">
                  <c:v>Winter Wk 8</c:v>
                </c:pt>
                <c:pt idx="20">
                  <c:v>Winter Wk 9</c:v>
                </c:pt>
                <c:pt idx="21">
                  <c:v>Winter Wk 10</c:v>
                </c:pt>
                <c:pt idx="22">
                  <c:v>Winter Finals</c:v>
                </c:pt>
                <c:pt idx="23">
                  <c:v>Spring Wk 1</c:v>
                </c:pt>
                <c:pt idx="24">
                  <c:v>Spring Wk 2</c:v>
                </c:pt>
                <c:pt idx="25">
                  <c:v>Spring Wk 3</c:v>
                </c:pt>
                <c:pt idx="26">
                  <c:v>Spring Wk 4</c:v>
                </c:pt>
                <c:pt idx="27">
                  <c:v>Spring Wk 5</c:v>
                </c:pt>
                <c:pt idx="28">
                  <c:v>Spring Wk 6</c:v>
                </c:pt>
                <c:pt idx="29">
                  <c:v>Spring Wk 7</c:v>
                </c:pt>
                <c:pt idx="30">
                  <c:v>Spring Wk 8</c:v>
                </c:pt>
                <c:pt idx="31">
                  <c:v>Spring Wk 9</c:v>
                </c:pt>
                <c:pt idx="32">
                  <c:v>Spring Wk 10</c:v>
                </c:pt>
                <c:pt idx="33">
                  <c:v>Spring Finals</c:v>
                </c:pt>
                <c:pt idx="34">
                  <c:v>Summer Wk 1</c:v>
                </c:pt>
                <c:pt idx="35">
                  <c:v>Summer Wk 2</c:v>
                </c:pt>
                <c:pt idx="36">
                  <c:v>Summer Wk 3</c:v>
                </c:pt>
                <c:pt idx="37">
                  <c:v>Summer Wk 4</c:v>
                </c:pt>
                <c:pt idx="38">
                  <c:v>Summer Wk 5</c:v>
                </c:pt>
                <c:pt idx="39">
                  <c:v>Summer Wk 6</c:v>
                </c:pt>
                <c:pt idx="40">
                  <c:v>Summer Wk 7</c:v>
                </c:pt>
                <c:pt idx="41">
                  <c:v>Summer Wk 8</c:v>
                </c:pt>
              </c:strCache>
            </c:strRef>
          </c:cat>
          <c:val>
            <c:numRef>
              <c:f>Backtest!$C$25:$C$66</c:f>
              <c:numCache>
                <c:formatCode>0</c:formatCode>
                <c:ptCount val="42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14</c:v>
                </c:pt>
                <c:pt idx="8">
                  <c:v>15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9</c:v>
                </c:pt>
                <c:pt idx="23">
                  <c:v>11</c:v>
                </c:pt>
                <c:pt idx="24">
                  <c:v>8</c:v>
                </c:pt>
                <c:pt idx="25">
                  <c:v>12</c:v>
                </c:pt>
                <c:pt idx="26">
                  <c:v>11</c:v>
                </c:pt>
                <c:pt idx="27">
                  <c:v>12</c:v>
                </c:pt>
                <c:pt idx="28">
                  <c:v>11</c:v>
                </c:pt>
                <c:pt idx="29">
                  <c:v>16</c:v>
                </c:pt>
                <c:pt idx="30">
                  <c:v>11</c:v>
                </c:pt>
                <c:pt idx="31">
                  <c:v>12</c:v>
                </c:pt>
                <c:pt idx="32">
                  <c:v>10</c:v>
                </c:pt>
                <c:pt idx="33">
                  <c:v>7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Backtest!D24</c:f>
              <c:strCache>
                <c:ptCount val="1"/>
                <c:pt idx="0">
                  <c:v>Model forecast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Backtest!$B$25:$B$66</c:f>
              <c:strCache>
                <c:ptCount val="42"/>
                <c:pt idx="0">
                  <c:v>Fall Wk 1</c:v>
                </c:pt>
                <c:pt idx="1">
                  <c:v>Fall Wk 2</c:v>
                </c:pt>
                <c:pt idx="2">
                  <c:v>Fall Wk 3</c:v>
                </c:pt>
                <c:pt idx="3">
                  <c:v>Fall Wk 4</c:v>
                </c:pt>
                <c:pt idx="4">
                  <c:v>Fall Wk 5</c:v>
                </c:pt>
                <c:pt idx="5">
                  <c:v>Fall Wk 6</c:v>
                </c:pt>
                <c:pt idx="6">
                  <c:v>Fall Wk 7</c:v>
                </c:pt>
                <c:pt idx="7">
                  <c:v>Fall Wk 8</c:v>
                </c:pt>
                <c:pt idx="8">
                  <c:v>Fall Wk 9</c:v>
                </c:pt>
                <c:pt idx="9">
                  <c:v>Fall Thanksgiving</c:v>
                </c:pt>
                <c:pt idx="10">
                  <c:v>Fall Wk 10</c:v>
                </c:pt>
                <c:pt idx="11">
                  <c:v>Fall Finals</c:v>
                </c:pt>
                <c:pt idx="12">
                  <c:v>Winter Wk 1</c:v>
                </c:pt>
                <c:pt idx="13">
                  <c:v>Winter Wk 2</c:v>
                </c:pt>
                <c:pt idx="14">
                  <c:v>Winter Wk 3</c:v>
                </c:pt>
                <c:pt idx="15">
                  <c:v>Winter Wk 4</c:v>
                </c:pt>
                <c:pt idx="16">
                  <c:v>Winter Wk 5</c:v>
                </c:pt>
                <c:pt idx="17">
                  <c:v>Winter Wk 6</c:v>
                </c:pt>
                <c:pt idx="18">
                  <c:v>Winter Wk 7</c:v>
                </c:pt>
                <c:pt idx="19">
                  <c:v>Winter Wk 8</c:v>
                </c:pt>
                <c:pt idx="20">
                  <c:v>Winter Wk 9</c:v>
                </c:pt>
                <c:pt idx="21">
                  <c:v>Winter Wk 10</c:v>
                </c:pt>
                <c:pt idx="22">
                  <c:v>Winter Finals</c:v>
                </c:pt>
                <c:pt idx="23">
                  <c:v>Spring Wk 1</c:v>
                </c:pt>
                <c:pt idx="24">
                  <c:v>Spring Wk 2</c:v>
                </c:pt>
                <c:pt idx="25">
                  <c:v>Spring Wk 3</c:v>
                </c:pt>
                <c:pt idx="26">
                  <c:v>Spring Wk 4</c:v>
                </c:pt>
                <c:pt idx="27">
                  <c:v>Spring Wk 5</c:v>
                </c:pt>
                <c:pt idx="28">
                  <c:v>Spring Wk 6</c:v>
                </c:pt>
                <c:pt idx="29">
                  <c:v>Spring Wk 7</c:v>
                </c:pt>
                <c:pt idx="30">
                  <c:v>Spring Wk 8</c:v>
                </c:pt>
                <c:pt idx="31">
                  <c:v>Spring Wk 9</c:v>
                </c:pt>
                <c:pt idx="32">
                  <c:v>Spring Wk 10</c:v>
                </c:pt>
                <c:pt idx="33">
                  <c:v>Spring Finals</c:v>
                </c:pt>
                <c:pt idx="34">
                  <c:v>Summer Wk 1</c:v>
                </c:pt>
                <c:pt idx="35">
                  <c:v>Summer Wk 2</c:v>
                </c:pt>
                <c:pt idx="36">
                  <c:v>Summer Wk 3</c:v>
                </c:pt>
                <c:pt idx="37">
                  <c:v>Summer Wk 4</c:v>
                </c:pt>
                <c:pt idx="38">
                  <c:v>Summer Wk 5</c:v>
                </c:pt>
                <c:pt idx="39">
                  <c:v>Summer Wk 6</c:v>
                </c:pt>
                <c:pt idx="40">
                  <c:v>Summer Wk 7</c:v>
                </c:pt>
                <c:pt idx="41">
                  <c:v>Summer Wk 8</c:v>
                </c:pt>
              </c:strCache>
            </c:strRef>
          </c:cat>
          <c:val>
            <c:numRef>
              <c:f>Backtest!$D$25:$D$66</c:f>
              <c:numCache>
                <c:formatCode>0.0</c:formatCode>
                <c:ptCount val="42"/>
                <c:pt idx="0">
                  <c:v>11.4</c:v>
                </c:pt>
                <c:pt idx="1">
                  <c:v>11.4</c:v>
                </c:pt>
                <c:pt idx="2">
                  <c:v>14.8</c:v>
                </c:pt>
                <c:pt idx="3">
                  <c:v>12.4</c:v>
                </c:pt>
                <c:pt idx="4">
                  <c:v>12.6</c:v>
                </c:pt>
                <c:pt idx="5">
                  <c:v>12.8</c:v>
                </c:pt>
                <c:pt idx="6">
                  <c:v>14</c:v>
                </c:pt>
                <c:pt idx="7">
                  <c:v>12.8</c:v>
                </c:pt>
                <c:pt idx="8">
                  <c:v>11.6</c:v>
                </c:pt>
                <c:pt idx="9">
                  <c:v>11.6</c:v>
                </c:pt>
                <c:pt idx="10">
                  <c:v>15.2</c:v>
                </c:pt>
                <c:pt idx="11">
                  <c:v>13</c:v>
                </c:pt>
                <c:pt idx="12">
                  <c:v>13.2</c:v>
                </c:pt>
                <c:pt idx="13">
                  <c:v>13</c:v>
                </c:pt>
                <c:pt idx="14">
                  <c:v>16.8</c:v>
                </c:pt>
                <c:pt idx="15">
                  <c:v>14</c:v>
                </c:pt>
                <c:pt idx="16">
                  <c:v>13.6</c:v>
                </c:pt>
                <c:pt idx="17">
                  <c:v>15.4</c:v>
                </c:pt>
                <c:pt idx="18">
                  <c:v>14.8</c:v>
                </c:pt>
                <c:pt idx="19">
                  <c:v>14.6</c:v>
                </c:pt>
                <c:pt idx="20">
                  <c:v>15.6</c:v>
                </c:pt>
                <c:pt idx="21">
                  <c:v>14.4</c:v>
                </c:pt>
                <c:pt idx="22">
                  <c:v>7.8</c:v>
                </c:pt>
                <c:pt idx="23">
                  <c:v>11.6</c:v>
                </c:pt>
                <c:pt idx="24">
                  <c:v>11.8</c:v>
                </c:pt>
                <c:pt idx="25">
                  <c:v>11.8</c:v>
                </c:pt>
                <c:pt idx="26">
                  <c:v>11.8</c:v>
                </c:pt>
                <c:pt idx="27">
                  <c:v>11.4</c:v>
                </c:pt>
                <c:pt idx="28">
                  <c:v>12.6</c:v>
                </c:pt>
                <c:pt idx="29">
                  <c:v>11.2</c:v>
                </c:pt>
                <c:pt idx="30">
                  <c:v>13.2</c:v>
                </c:pt>
                <c:pt idx="31">
                  <c:v>10.8</c:v>
                </c:pt>
                <c:pt idx="32">
                  <c:v>15.2</c:v>
                </c:pt>
                <c:pt idx="33">
                  <c:v>7</c:v>
                </c:pt>
                <c:pt idx="34">
                  <c:v>6.8</c:v>
                </c:pt>
                <c:pt idx="35">
                  <c:v>7.4</c:v>
                </c:pt>
                <c:pt idx="36">
                  <c:v>7.8</c:v>
                </c:pt>
                <c:pt idx="37">
                  <c:v>8</c:v>
                </c:pt>
                <c:pt idx="38">
                  <c:v>9</c:v>
                </c:pt>
                <c:pt idx="39">
                  <c:v>8</c:v>
                </c:pt>
                <c:pt idx="40">
                  <c:v>9</c:v>
                </c:pt>
                <c:pt idx="41">
                  <c:v>9.8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Backtest!E24</c:f>
              <c:strCache>
                <c:ptCount val="1"/>
                <c:pt idx="0">
                  <c:v>Naive forecast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Backtest!$B$25:$B$66</c:f>
              <c:strCache>
                <c:ptCount val="42"/>
                <c:pt idx="0">
                  <c:v>Fall Wk 1</c:v>
                </c:pt>
                <c:pt idx="1">
                  <c:v>Fall Wk 2</c:v>
                </c:pt>
                <c:pt idx="2">
                  <c:v>Fall Wk 3</c:v>
                </c:pt>
                <c:pt idx="3">
                  <c:v>Fall Wk 4</c:v>
                </c:pt>
                <c:pt idx="4">
                  <c:v>Fall Wk 5</c:v>
                </c:pt>
                <c:pt idx="5">
                  <c:v>Fall Wk 6</c:v>
                </c:pt>
                <c:pt idx="6">
                  <c:v>Fall Wk 7</c:v>
                </c:pt>
                <c:pt idx="7">
                  <c:v>Fall Wk 8</c:v>
                </c:pt>
                <c:pt idx="8">
                  <c:v>Fall Wk 9</c:v>
                </c:pt>
                <c:pt idx="9">
                  <c:v>Fall Thanksgiving</c:v>
                </c:pt>
                <c:pt idx="10">
                  <c:v>Fall Wk 10</c:v>
                </c:pt>
                <c:pt idx="11">
                  <c:v>Fall Finals</c:v>
                </c:pt>
                <c:pt idx="12">
                  <c:v>Winter Wk 1</c:v>
                </c:pt>
                <c:pt idx="13">
                  <c:v>Winter Wk 2</c:v>
                </c:pt>
                <c:pt idx="14">
                  <c:v>Winter Wk 3</c:v>
                </c:pt>
                <c:pt idx="15">
                  <c:v>Winter Wk 4</c:v>
                </c:pt>
                <c:pt idx="16">
                  <c:v>Winter Wk 5</c:v>
                </c:pt>
                <c:pt idx="17">
                  <c:v>Winter Wk 6</c:v>
                </c:pt>
                <c:pt idx="18">
                  <c:v>Winter Wk 7</c:v>
                </c:pt>
                <c:pt idx="19">
                  <c:v>Winter Wk 8</c:v>
                </c:pt>
                <c:pt idx="20">
                  <c:v>Winter Wk 9</c:v>
                </c:pt>
                <c:pt idx="21">
                  <c:v>Winter Wk 10</c:v>
                </c:pt>
                <c:pt idx="22">
                  <c:v>Winter Finals</c:v>
                </c:pt>
                <c:pt idx="23">
                  <c:v>Spring Wk 1</c:v>
                </c:pt>
                <c:pt idx="24">
                  <c:v>Spring Wk 2</c:v>
                </c:pt>
                <c:pt idx="25">
                  <c:v>Spring Wk 3</c:v>
                </c:pt>
                <c:pt idx="26">
                  <c:v>Spring Wk 4</c:v>
                </c:pt>
                <c:pt idx="27">
                  <c:v>Spring Wk 5</c:v>
                </c:pt>
                <c:pt idx="28">
                  <c:v>Spring Wk 6</c:v>
                </c:pt>
                <c:pt idx="29">
                  <c:v>Spring Wk 7</c:v>
                </c:pt>
                <c:pt idx="30">
                  <c:v>Spring Wk 8</c:v>
                </c:pt>
                <c:pt idx="31">
                  <c:v>Spring Wk 9</c:v>
                </c:pt>
                <c:pt idx="32">
                  <c:v>Spring Wk 10</c:v>
                </c:pt>
                <c:pt idx="33">
                  <c:v>Spring Finals</c:v>
                </c:pt>
                <c:pt idx="34">
                  <c:v>Summer Wk 1</c:v>
                </c:pt>
                <c:pt idx="35">
                  <c:v>Summer Wk 2</c:v>
                </c:pt>
                <c:pt idx="36">
                  <c:v>Summer Wk 3</c:v>
                </c:pt>
                <c:pt idx="37">
                  <c:v>Summer Wk 4</c:v>
                </c:pt>
                <c:pt idx="38">
                  <c:v>Summer Wk 5</c:v>
                </c:pt>
                <c:pt idx="39">
                  <c:v>Summer Wk 6</c:v>
                </c:pt>
                <c:pt idx="40">
                  <c:v>Summer Wk 7</c:v>
                </c:pt>
                <c:pt idx="41">
                  <c:v>Summer Wk 8</c:v>
                </c:pt>
              </c:strCache>
            </c:strRef>
          </c:cat>
          <c:val>
            <c:numRef>
              <c:f>Backtest!$E$25:$E$66</c:f>
              <c:numCache>
                <c:formatCode>0</c:formatCode>
                <c:ptCount val="42"/>
                <c:pt idx="0">
                  <c:v>11</c:v>
                </c:pt>
                <c:pt idx="1">
                  <c:v>11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14</c:v>
                </c:pt>
                <c:pt idx="7">
                  <c:v>12</c:v>
                </c:pt>
                <c:pt idx="8">
                  <c:v>10</c:v>
                </c:pt>
                <c:pt idx="9">
                  <c:v>10</c:v>
                </c:pt>
                <c:pt idx="10">
                  <c:v>16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  <c:pt idx="16">
                  <c:v>14</c:v>
                </c:pt>
                <c:pt idx="17">
                  <c:v>17</c:v>
                </c:pt>
                <c:pt idx="18">
                  <c:v>16</c:v>
                </c:pt>
                <c:pt idx="19">
                  <c:v>15</c:v>
                </c:pt>
                <c:pt idx="20">
                  <c:v>16</c:v>
                </c:pt>
                <c:pt idx="21">
                  <c:v>14</c:v>
                </c:pt>
                <c:pt idx="22">
                  <c:v>9</c:v>
                </c:pt>
                <c:pt idx="23">
                  <c:v>12</c:v>
                </c:pt>
                <c:pt idx="24">
                  <c:v>13</c:v>
                </c:pt>
                <c:pt idx="25">
                  <c:v>11</c:v>
                </c:pt>
                <c:pt idx="26">
                  <c:v>13</c:v>
                </c:pt>
                <c:pt idx="27">
                  <c:v>11</c:v>
                </c:pt>
                <c:pt idx="28">
                  <c:v>13</c:v>
                </c:pt>
                <c:pt idx="29">
                  <c:v>12</c:v>
                </c:pt>
                <c:pt idx="30">
                  <c:v>12</c:v>
                </c:pt>
                <c:pt idx="31">
                  <c:v>8</c:v>
                </c:pt>
                <c:pt idx="32">
                  <c:v>16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10</c:v>
                </c:pt>
                <c:pt idx="40">
                  <c:v>11</c:v>
                </c:pt>
                <c:pt idx="41">
                  <c:v>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34513"/>
        <c:axId val="11969279"/>
      </c:lineChart>
      <c:catAx>
        <c:axId val="7934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69279"/>
        <c:crosses val="autoZero"/>
        <c:auto val="1"/>
        <c:lblAlgn val="ctr"/>
        <c:lblOffset val="100"/>
        <c:noMultiLvlLbl val="0"/>
      </c:catAx>
      <c:valAx>
        <c:axId val="11969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 per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4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Forecast: average share of each hour booked,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Summary!A11</c:f>
              <c:strCache>
                <c:ptCount val="1"/>
                <c:pt idx="0">
                  <c:v>Fall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Summary!$B$10:$J$10</c:f>
              <c:strCache>
                <c:ptCount val="9"/>
                <c:pt idx="0">
                  <c:v>8-9 AM</c:v>
                </c:pt>
                <c:pt idx="1">
                  <c:v>9-10 AM</c:v>
                </c:pt>
                <c:pt idx="2">
                  <c:v>10-11 AM</c:v>
                </c:pt>
                <c:pt idx="3">
                  <c:v>11 AM-12 PM</c:v>
                </c:pt>
                <c:pt idx="4">
                  <c:v>12-1 PM</c:v>
                </c:pt>
                <c:pt idx="5">
                  <c:v>1-2 PM</c:v>
                </c:pt>
                <c:pt idx="6">
                  <c:v>2-3 PM</c:v>
                </c:pt>
                <c:pt idx="7">
                  <c:v>3-4 PM</c:v>
                </c:pt>
                <c:pt idx="8">
                  <c:v>4-5 PM</c:v>
                </c:pt>
              </c:strCache>
            </c:strRef>
          </c:cat>
          <c:val>
            <c:numRef>
              <c:f>Summary!$B$11:$J$11</c:f>
              <c:numCache>
                <c:formatCode>0%</c:formatCode>
                <c:ptCount val="9"/>
                <c:pt idx="0">
                  <c:v>0.03</c:v>
                </c:pt>
                <c:pt idx="1">
                  <c:v>0.4</c:v>
                </c:pt>
                <c:pt idx="2">
                  <c:v>0.469999999999999</c:v>
                </c:pt>
                <c:pt idx="3">
                  <c:v>0.285000000000001</c:v>
                </c:pt>
                <c:pt idx="4">
                  <c:v>0.809999999999999</c:v>
                </c:pt>
                <c:pt idx="5">
                  <c:v>0.501666666666669</c:v>
                </c:pt>
                <c:pt idx="6">
                  <c:v>0.2</c:v>
                </c:pt>
                <c:pt idx="7">
                  <c:v>0.689999999999997</c:v>
                </c:pt>
                <c:pt idx="8">
                  <c:v>0.610000000000001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Summary!A12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Summary!$B$10:$J$10</c:f>
              <c:strCache>
                <c:ptCount val="9"/>
                <c:pt idx="0">
                  <c:v>8-9 AM</c:v>
                </c:pt>
                <c:pt idx="1">
                  <c:v>9-10 AM</c:v>
                </c:pt>
                <c:pt idx="2">
                  <c:v>10-11 AM</c:v>
                </c:pt>
                <c:pt idx="3">
                  <c:v>11 AM-12 PM</c:v>
                </c:pt>
                <c:pt idx="4">
                  <c:v>12-1 PM</c:v>
                </c:pt>
                <c:pt idx="5">
                  <c:v>1-2 PM</c:v>
                </c:pt>
                <c:pt idx="6">
                  <c:v>2-3 PM</c:v>
                </c:pt>
                <c:pt idx="7">
                  <c:v>3-4 PM</c:v>
                </c:pt>
                <c:pt idx="8">
                  <c:v>4-5 PM</c:v>
                </c:pt>
              </c:strCache>
            </c:strRef>
          </c:cat>
          <c:val>
            <c:numRef>
              <c:f>Summary!$B$12:$J$12</c:f>
              <c:numCache>
                <c:formatCode>0%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0.249999999999999</c:v>
                </c:pt>
                <c:pt idx="3">
                  <c:v>0.265</c:v>
                </c:pt>
                <c:pt idx="4">
                  <c:v>0.859999999999998</c:v>
                </c:pt>
                <c:pt idx="5">
                  <c:v>0.641666666666668</c:v>
                </c:pt>
                <c:pt idx="6">
                  <c:v>0.386666666666666</c:v>
                </c:pt>
                <c:pt idx="7">
                  <c:v>0.649999999999998</c:v>
                </c:pt>
                <c:pt idx="8">
                  <c:v>0.6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Summary!A13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Summary!$B$10:$J$10</c:f>
              <c:strCache>
                <c:ptCount val="9"/>
                <c:pt idx="0">
                  <c:v>8-9 AM</c:v>
                </c:pt>
                <c:pt idx="1">
                  <c:v>9-10 AM</c:v>
                </c:pt>
                <c:pt idx="2">
                  <c:v>10-11 AM</c:v>
                </c:pt>
                <c:pt idx="3">
                  <c:v>11 AM-12 PM</c:v>
                </c:pt>
                <c:pt idx="4">
                  <c:v>12-1 PM</c:v>
                </c:pt>
                <c:pt idx="5">
                  <c:v>1-2 PM</c:v>
                </c:pt>
                <c:pt idx="6">
                  <c:v>2-3 PM</c:v>
                </c:pt>
                <c:pt idx="7">
                  <c:v>3-4 PM</c:v>
                </c:pt>
                <c:pt idx="8">
                  <c:v>4-5 PM</c:v>
                </c:pt>
              </c:strCache>
            </c:strRef>
          </c:cat>
          <c:val>
            <c:numRef>
              <c:f>Summary!$B$13:$J$13</c:f>
              <c:numCache>
                <c:formatCode>0%</c:formatCode>
                <c:ptCount val="9"/>
                <c:pt idx="0">
                  <c:v>0.05</c:v>
                </c:pt>
                <c:pt idx="1">
                  <c:v>0.36</c:v>
                </c:pt>
                <c:pt idx="2">
                  <c:v>0.259999999999999</c:v>
                </c:pt>
                <c:pt idx="3">
                  <c:v>0.21</c:v>
                </c:pt>
                <c:pt idx="4">
                  <c:v>0.639999999999999</c:v>
                </c:pt>
                <c:pt idx="5">
                  <c:v>0.455000000000001</c:v>
                </c:pt>
                <c:pt idx="6">
                  <c:v>0.409999999999999</c:v>
                </c:pt>
                <c:pt idx="7">
                  <c:v>0.649999999999998</c:v>
                </c:pt>
                <c:pt idx="8">
                  <c:v>0.640000000000001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Summary!A14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Summary!$B$10:$J$10</c:f>
              <c:strCache>
                <c:ptCount val="9"/>
                <c:pt idx="0">
                  <c:v>8-9 AM</c:v>
                </c:pt>
                <c:pt idx="1">
                  <c:v>9-10 AM</c:v>
                </c:pt>
                <c:pt idx="2">
                  <c:v>10-11 AM</c:v>
                </c:pt>
                <c:pt idx="3">
                  <c:v>11 AM-12 PM</c:v>
                </c:pt>
                <c:pt idx="4">
                  <c:v>12-1 PM</c:v>
                </c:pt>
                <c:pt idx="5">
                  <c:v>1-2 PM</c:v>
                </c:pt>
                <c:pt idx="6">
                  <c:v>2-3 PM</c:v>
                </c:pt>
                <c:pt idx="7">
                  <c:v>3-4 PM</c:v>
                </c:pt>
                <c:pt idx="8">
                  <c:v>4-5 PM</c:v>
                </c:pt>
              </c:strCache>
            </c:strRef>
          </c:cat>
          <c:val>
            <c:numRef>
              <c:f>Summary!$B$14:$J$14</c:f>
              <c:numCache>
                <c:formatCode>0%</c:formatCode>
                <c:ptCount val="9"/>
                <c:pt idx="0">
                  <c:v>0</c:v>
                </c:pt>
                <c:pt idx="1">
                  <c:v>0.21</c:v>
                </c:pt>
                <c:pt idx="2">
                  <c:v>0.29</c:v>
                </c:pt>
                <c:pt idx="3">
                  <c:v>0.330000000000001</c:v>
                </c:pt>
                <c:pt idx="4">
                  <c:v>0.509999999999999</c:v>
                </c:pt>
                <c:pt idx="5">
                  <c:v>0.34</c:v>
                </c:pt>
                <c:pt idx="6">
                  <c:v>0.11</c:v>
                </c:pt>
                <c:pt idx="7">
                  <c:v>0.199999999999999</c:v>
                </c:pt>
                <c:pt idx="8">
                  <c:v>0.26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764765"/>
        <c:axId val="72176088"/>
      </c:lineChart>
      <c:catAx>
        <c:axId val="397647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76088"/>
        <c:crosses val="autoZero"/>
        <c:auto val="1"/>
        <c:lblAlgn val="ctr"/>
        <c:lblOffset val="100"/>
        <c:noMultiLvlLbl val="0"/>
      </c:catAx>
      <c:valAx>
        <c:axId val="7217608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hour booked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647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160560</xdr:rowOff>
    </xdr:from>
    <xdr:to>
      <xdr:col>7</xdr:col>
      <xdr:colOff>136080</xdr:colOff>
      <xdr:row>30</xdr:row>
      <xdr:rowOff>182880</xdr:rowOff>
    </xdr:to>
    <xdr:graphicFrame>
      <xdr:nvGraphicFramePr>
        <xdr:cNvPr id="0" name="Chart 1"/>
        <xdr:cNvGraphicFramePr/>
      </xdr:nvGraphicFramePr>
      <xdr:xfrm>
        <a:off x="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68</xdr:row>
      <xdr:rowOff>160560</xdr:rowOff>
    </xdr:from>
    <xdr:to>
      <xdr:col>3</xdr:col>
      <xdr:colOff>4214160</xdr:colOff>
      <xdr:row>84</xdr:row>
      <xdr:rowOff>172440</xdr:rowOff>
    </xdr:to>
    <xdr:graphicFrame>
      <xdr:nvGraphicFramePr>
        <xdr:cNvPr id="1" name="Chart 1"/>
        <xdr:cNvGraphicFramePr/>
      </xdr:nvGraphicFramePr>
      <xdr:xfrm>
        <a:off x="0" y="13716000"/>
        <a:ext cx="93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160560</xdr:rowOff>
    </xdr:from>
    <xdr:to>
      <xdr:col>8</xdr:col>
      <xdr:colOff>110880</xdr:colOff>
      <xdr:row>36</xdr:row>
      <xdr:rowOff>172440</xdr:rowOff>
    </xdr:to>
    <xdr:graphicFrame>
      <xdr:nvGraphicFramePr>
        <xdr:cNvPr id="2" name="Chart 1"/>
        <xdr:cNvGraphicFramePr/>
      </xdr:nvGraphicFramePr>
      <xdr:xfrm>
        <a:off x="0" y="438156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5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5" customFormat="false" ht="15" hidden="false" customHeight="false" outlineLevel="0" collapsed="false">
      <c r="A35" s="3" t="s">
        <v>27</v>
      </c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tr">
        <f aca="false">"Projected Registrar Use of Room A, "&amp;Assumptions!B3</f>
        <v>Projected Registrar Use of Room A, Year 4</v>
      </c>
    </row>
    <row r="2" customFormat="false" ht="15" hidden="false" customHeight="false" outlineLevel="0" collapsed="false">
      <c r="A2" s="7" t="s">
        <v>30</v>
      </c>
    </row>
    <row r="4" customFormat="false" ht="30" hidden="false" customHeight="true" outlineLevel="0" collapsed="false">
      <c r="A4" s="8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</row>
    <row r="5" customFormat="false" ht="15" hidden="false" customHeight="false" outlineLevel="0" collapsed="false">
      <c r="A5" s="9" t="s">
        <v>42</v>
      </c>
      <c r="B5" s="10" t="n">
        <f aca="false">Forecast!M11</f>
        <v>19.9833333333333</v>
      </c>
      <c r="C5" s="10" t="n">
        <f aca="false">SUMPRODUCT('Registrar Patterns'!$I$5:$I$27,'Registrar Patterns'!$E$5:$E$27)</f>
        <v>12.8333333333333</v>
      </c>
      <c r="D5" s="10" t="n">
        <f aca="false">B5+C5</f>
        <v>32.8166666666667</v>
      </c>
      <c r="E5" s="11" t="n">
        <f aca="false">D5/45</f>
        <v>0.729259259259259</v>
      </c>
      <c r="F5" s="12" t="n">
        <f aca="false">SUM('Registrar Patterns'!I5:I27)</f>
        <v>5</v>
      </c>
      <c r="G5" s="13" t="n">
        <f aca="false">C5*Assumptions!$B$18</f>
        <v>128.333333333333</v>
      </c>
      <c r="H5" s="12" t="n">
        <f aca="false">'Finals Exam Blocks'!E23</f>
        <v>1</v>
      </c>
      <c r="I5" s="12" t="n">
        <f aca="false">H5*3</f>
        <v>3</v>
      </c>
      <c r="J5" s="14" t="n">
        <f aca="false">G5+I5</f>
        <v>131.333333333333</v>
      </c>
      <c r="K5" s="12" t="n">
        <f aca="false">'Combined Use'!D11</f>
        <v>9</v>
      </c>
    </row>
    <row r="6" customFormat="false" ht="15" hidden="false" customHeight="false" outlineLevel="0" collapsed="false">
      <c r="A6" s="9" t="s">
        <v>43</v>
      </c>
      <c r="B6" s="10" t="n">
        <f aca="false">Forecast!M20</f>
        <v>19.5166666666667</v>
      </c>
      <c r="C6" s="10" t="n">
        <f aca="false">SUMPRODUCT('Registrar Patterns'!$M$5:$M$27,'Registrar Patterns'!$E$5:$E$27)</f>
        <v>10.5</v>
      </c>
      <c r="D6" s="10" t="n">
        <f aca="false">B6+C6</f>
        <v>30.0166666666667</v>
      </c>
      <c r="E6" s="11" t="n">
        <f aca="false">D6/45</f>
        <v>0.667037037037037</v>
      </c>
      <c r="F6" s="12" t="n">
        <f aca="false">SUM('Registrar Patterns'!M5:M27)</f>
        <v>4</v>
      </c>
      <c r="G6" s="13" t="n">
        <f aca="false">C6*Assumptions!$B$18</f>
        <v>105</v>
      </c>
      <c r="H6" s="12" t="n">
        <f aca="false">'Finals Exam Blocks'!E32</f>
        <v>2</v>
      </c>
      <c r="I6" s="12" t="n">
        <f aca="false">H6*3</f>
        <v>6</v>
      </c>
      <c r="J6" s="14" t="n">
        <f aca="false">G6+I6</f>
        <v>111</v>
      </c>
      <c r="K6" s="12" t="n">
        <f aca="false">'Combined Use'!D20</f>
        <v>4</v>
      </c>
    </row>
    <row r="7" customFormat="false" ht="15" hidden="false" customHeight="false" outlineLevel="0" collapsed="false">
      <c r="A7" s="9" t="s">
        <v>44</v>
      </c>
      <c r="B7" s="10" t="n">
        <f aca="false">Forecast!M29</f>
        <v>18.375</v>
      </c>
      <c r="C7" s="10" t="n">
        <f aca="false">SUMPRODUCT('Registrar Patterns'!$Q$5:$Q$27,'Registrar Patterns'!$E$5:$E$27)</f>
        <v>15.5</v>
      </c>
      <c r="D7" s="10" t="n">
        <f aca="false">B7+C7</f>
        <v>33.875</v>
      </c>
      <c r="E7" s="11" t="n">
        <f aca="false">D7/45</f>
        <v>0.752777777777777</v>
      </c>
      <c r="F7" s="12" t="n">
        <f aca="false">SUM('Registrar Patterns'!Q5:Q27)</f>
        <v>6</v>
      </c>
      <c r="G7" s="13" t="n">
        <f aca="false">C7*Assumptions!$B$18</f>
        <v>155</v>
      </c>
      <c r="H7" s="12" t="n">
        <f aca="false">'Finals Exam Blocks'!E41</f>
        <v>2</v>
      </c>
      <c r="I7" s="12" t="n">
        <f aca="false">H7*3</f>
        <v>6</v>
      </c>
      <c r="J7" s="14" t="n">
        <f aca="false">G7+I7</f>
        <v>161</v>
      </c>
      <c r="K7" s="12" t="n">
        <f aca="false">'Combined Use'!D29</f>
        <v>7</v>
      </c>
    </row>
    <row r="8" customFormat="false" ht="15" hidden="false" customHeight="false" outlineLevel="0" collapsed="false">
      <c r="A8" s="9" t="s">
        <v>45</v>
      </c>
      <c r="B8" s="10" t="n">
        <f aca="false">Forecast!M38</f>
        <v>11.25</v>
      </c>
      <c r="C8" s="10" t="n">
        <f aca="false">SUMPRODUCT('Registrar Patterns'!$U$5:$U$27,'Registrar Patterns'!$E$5:$E$27)</f>
        <v>26.5</v>
      </c>
      <c r="D8" s="10" t="n">
        <f aca="false">B8+C8</f>
        <v>37.75</v>
      </c>
      <c r="E8" s="11" t="n">
        <f aca="false">D8/45</f>
        <v>0.838888888888889</v>
      </c>
      <c r="F8" s="12" t="n">
        <f aca="false">SUM('Registrar Patterns'!U5:U27)</f>
        <v>10</v>
      </c>
      <c r="G8" s="13" t="n">
        <f aca="false">C8*Assumptions!$B$19</f>
        <v>212</v>
      </c>
      <c r="H8" s="12" t="n">
        <v>0</v>
      </c>
      <c r="I8" s="12" t="n">
        <f aca="false">H8*3</f>
        <v>0</v>
      </c>
      <c r="J8" s="14" t="n">
        <f aca="false">G8+I8</f>
        <v>212</v>
      </c>
      <c r="K8" s="12" t="n">
        <f aca="false">'Combined Use'!D38</f>
        <v>16</v>
      </c>
    </row>
    <row r="9" customFormat="false" ht="15" hidden="false" customHeight="false" outlineLevel="0" collapsed="false">
      <c r="A9" s="3" t="s">
        <v>46</v>
      </c>
      <c r="G9" s="14" t="n">
        <f aca="false">SUM(G5:G8)</f>
        <v>600.333333333333</v>
      </c>
      <c r="H9" s="14" t="n">
        <f aca="false">SUM(H5:H8)</f>
        <v>5</v>
      </c>
      <c r="I9" s="14" t="n">
        <f aca="false">SUM(I5:I8)</f>
        <v>15</v>
      </c>
      <c r="J9" s="14" t="n">
        <f aca="false">SUM(J5:J8)</f>
        <v>615.333333333333</v>
      </c>
    </row>
    <row r="11" customFormat="false" ht="15" hidden="false" customHeight="false" outlineLevel="0" collapsed="false">
      <c r="A11" s="3" t="s">
        <v>47</v>
      </c>
    </row>
    <row r="12" customFormat="false" ht="15" hidden="false" customHeight="false" outlineLevel="0" collapsed="false">
      <c r="A12" s="2" t="s">
        <v>48</v>
      </c>
    </row>
    <row r="13" customFormat="false" ht="15" hidden="false" customHeight="false" outlineLevel="0" collapsed="false">
      <c r="A13" s="2" t="s">
        <v>49</v>
      </c>
    </row>
    <row r="14" customFormat="false" ht="15" hidden="false" customHeight="false" outlineLevel="0" collapsed="false">
      <c r="A14" s="2" t="s">
        <v>50</v>
      </c>
    </row>
    <row r="15" customFormat="false" ht="15" hidden="false" customHeight="false" outlineLevel="0" collapsed="false">
      <c r="A15" s="2" t="s">
        <v>51</v>
      </c>
    </row>
    <row r="16" customFormat="false" ht="15" hidden="false" customHeight="false" outlineLevel="0" collapsed="false">
      <c r="A16" s="2" t="s">
        <v>52</v>
      </c>
    </row>
    <row r="17" customFormat="false" ht="15" hidden="false" customHeight="false" outlineLevel="0" collapsed="false">
      <c r="A17" s="2" t="s">
        <v>53</v>
      </c>
    </row>
    <row r="18" customFormat="false" ht="15" hidden="false" customHeight="false" outlineLevel="0" collapsed="false">
      <c r="A18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0"/>
    <col collapsed="false" customWidth="true" hidden="false" outlineLevel="0" max="10" min="5" style="0" width="10"/>
    <col collapsed="false" customWidth="true" hidden="false" outlineLevel="0" max="12" min="11" style="0" width="11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25" min="17" style="0" width="1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7" t="s">
        <v>56</v>
      </c>
      <c r="N2" s="3" t="s">
        <v>57</v>
      </c>
    </row>
    <row r="3" customFormat="false" ht="30" hidden="false" customHeight="true" outlineLevel="0" collapsed="false">
      <c r="N3" s="8" t="s">
        <v>31</v>
      </c>
      <c r="O3" s="8" t="s">
        <v>58</v>
      </c>
      <c r="P3" s="8" t="s">
        <v>59</v>
      </c>
      <c r="Q3" s="8" t="s">
        <v>60</v>
      </c>
      <c r="R3" s="8" t="s">
        <v>61</v>
      </c>
      <c r="S3" s="8" t="s">
        <v>62</v>
      </c>
      <c r="T3" s="8" t="s">
        <v>63</v>
      </c>
      <c r="U3" s="8" t="s">
        <v>64</v>
      </c>
      <c r="V3" s="8" t="s">
        <v>65</v>
      </c>
      <c r="W3" s="8" t="s">
        <v>66</v>
      </c>
      <c r="X3" s="8" t="s">
        <v>67</v>
      </c>
      <c r="Y3" s="8" t="s">
        <v>68</v>
      </c>
    </row>
    <row r="4" customFormat="false" ht="15" hidden="false" customHeight="false" outlineLevel="0" collapsed="false">
      <c r="A4" s="3" t="s">
        <v>69</v>
      </c>
      <c r="N4" s="15" t="s">
        <v>42</v>
      </c>
      <c r="O4" s="15" t="s">
        <v>70</v>
      </c>
      <c r="P4" s="15" t="s">
        <v>71</v>
      </c>
      <c r="Q4" s="16" t="n">
        <f aca="false">SUMIFS('Hourly Usage'!D$4:D$63,'Hourly Usage'!$A$4:$A$63,"Year 3",'Hourly Usage'!$B$4:$B$63,$N4,'Hourly Usage'!$C$4:$C$63,$O4)</f>
        <v>0</v>
      </c>
      <c r="R4" s="16" t="n">
        <f aca="false">$B$5*SUMIFS('Hourly Usage'!D$4:D$63,'Hourly Usage'!$A$4:$A$63,"Year 1",'Hourly Usage'!$B$4:$B$63,$N4,'Hourly Usage'!$C$4:$C$63,$O4)+$B$6*SUMIFS('Hourly Usage'!D$4:D$63,'Hourly Usage'!$A$4:$A$63,"Year 2",'Hourly Usage'!$B$4:$B$63,$N4,'Hourly Usage'!$C$4:$C$63,$O4)</f>
        <v>0.3</v>
      </c>
      <c r="S4" s="16" t="n">
        <f aca="false">SUMIFS('Hourly Usage'!D$4:D$63,'Hourly Usage'!$A$4:$A$63,"Year 2",'Hourly Usage'!$B$4:$B$63,$N4,'Hourly Usage'!$C$4:$C$63,$O4)</f>
        <v>0.5</v>
      </c>
      <c r="T4" s="16" t="n">
        <f aca="false">ABS(Q4-R4)</f>
        <v>0.3</v>
      </c>
      <c r="U4" s="16" t="n">
        <f aca="false">ABS(Q4-S4)</f>
        <v>0.5</v>
      </c>
      <c r="V4" s="15" t="n">
        <f aca="false">IF(R4&gt;=$B$7-0.000001,1,0)</f>
        <v>0</v>
      </c>
      <c r="W4" s="15" t="n">
        <f aca="false">IF(Q4&gt;=$B$7-0.000001,1,0)</f>
        <v>0</v>
      </c>
      <c r="X4" s="15" t="n">
        <f aca="false">IF(V4=W4,1,0)</f>
        <v>1</v>
      </c>
      <c r="Y4" s="15" t="n">
        <f aca="false">IF(IF(S4&gt;=$B$7-0.000001,1,0)=W4,1,0)</f>
        <v>0</v>
      </c>
    </row>
    <row r="5" customFormat="false" ht="15" hidden="false" customHeight="false" outlineLevel="0" collapsed="false">
      <c r="A5" s="17" t="s">
        <v>72</v>
      </c>
      <c r="B5" s="18" t="n">
        <v>0.4</v>
      </c>
      <c r="C5" s="7" t="s">
        <v>73</v>
      </c>
      <c r="N5" s="15" t="s">
        <v>42</v>
      </c>
      <c r="O5" s="15" t="s">
        <v>70</v>
      </c>
      <c r="P5" s="15" t="s">
        <v>74</v>
      </c>
      <c r="Q5" s="16" t="n">
        <f aca="false">SUMIFS('Hourly Usage'!E$4:E$63,'Hourly Usage'!$A$4:$A$63,"Year 3",'Hourly Usage'!$B$4:$B$63,$N5,'Hourly Usage'!$C$4:$C$63,$O5)</f>
        <v>0</v>
      </c>
      <c r="R5" s="16" t="n">
        <f aca="false">$B$5*SUMIFS('Hourly Usage'!E$4:E$63,'Hourly Usage'!$A$4:$A$63,"Year 1",'Hourly Usage'!$B$4:$B$63,$N5,'Hourly Usage'!$C$4:$C$63,$O5)+$B$6*SUMIFS('Hourly Usage'!E$4:E$63,'Hourly Usage'!$A$4:$A$63,"Year 2",'Hourly Usage'!$B$4:$B$63,$N5,'Hourly Usage'!$C$4:$C$63,$O5)</f>
        <v>1</v>
      </c>
      <c r="S5" s="16" t="n">
        <f aca="false">SUMIFS('Hourly Usage'!E$4:E$63,'Hourly Usage'!$A$4:$A$63,"Year 2",'Hourly Usage'!$B$4:$B$63,$N5,'Hourly Usage'!$C$4:$C$63,$O5)</f>
        <v>1</v>
      </c>
      <c r="T5" s="16" t="n">
        <f aca="false">ABS(Q5-R5)</f>
        <v>1</v>
      </c>
      <c r="U5" s="16" t="n">
        <f aca="false">ABS(Q5-S5)</f>
        <v>1</v>
      </c>
      <c r="V5" s="15" t="n">
        <f aca="false">IF(R5&gt;=$B$7-0.000001,1,0)</f>
        <v>1</v>
      </c>
      <c r="W5" s="15" t="n">
        <f aca="false">IF(Q5&gt;=$B$7-0.000001,1,0)</f>
        <v>0</v>
      </c>
      <c r="X5" s="15" t="n">
        <f aca="false">IF(V5=W5,1,0)</f>
        <v>0</v>
      </c>
      <c r="Y5" s="15" t="n">
        <f aca="false">IF(IF(S5&gt;=$B$7-0.000001,1,0)=W5,1,0)</f>
        <v>0</v>
      </c>
    </row>
    <row r="6" customFormat="false" ht="15" hidden="false" customHeight="false" outlineLevel="0" collapsed="false">
      <c r="A6" s="17" t="s">
        <v>75</v>
      </c>
      <c r="B6" s="18" t="n">
        <v>0.6</v>
      </c>
      <c r="N6" s="15" t="s">
        <v>42</v>
      </c>
      <c r="O6" s="15" t="s">
        <v>70</v>
      </c>
      <c r="P6" s="15" t="s">
        <v>76</v>
      </c>
      <c r="Q6" s="16" t="n">
        <f aca="false">SUMIFS('Hourly Usage'!F$4:F$63,'Hourly Usage'!$A$4:$A$63,"Year 3",'Hourly Usage'!$B$4:$B$63,$N6,'Hourly Usage'!$C$4:$C$63,$O6)</f>
        <v>0.999999999999999</v>
      </c>
      <c r="R6" s="16" t="n">
        <f aca="false">$B$5*SUMIFS('Hourly Usage'!F$4:F$63,'Hourly Usage'!$A$4:$A$63,"Year 1",'Hourly Usage'!$B$4:$B$63,$N6,'Hourly Usage'!$C$4:$C$63,$O6)+$B$6*SUMIFS('Hourly Usage'!F$4:F$63,'Hourly Usage'!$A$4:$A$63,"Year 2",'Hourly Usage'!$B$4:$B$63,$N6,'Hourly Usage'!$C$4:$C$63,$O6)</f>
        <v>0.699999999999999</v>
      </c>
      <c r="S6" s="16" t="n">
        <f aca="false">SUMIFS('Hourly Usage'!F$4:F$63,'Hourly Usage'!$A$4:$A$63,"Year 2",'Hourly Usage'!$B$4:$B$63,$N6,'Hourly Usage'!$C$4:$C$63,$O6)</f>
        <v>0.5</v>
      </c>
      <c r="T6" s="16" t="n">
        <f aca="false">ABS(Q6-R6)</f>
        <v>0.3</v>
      </c>
      <c r="U6" s="16" t="n">
        <f aca="false">ABS(Q6-S6)</f>
        <v>0.5</v>
      </c>
      <c r="V6" s="15" t="n">
        <f aca="false">IF(R6&gt;=$B$7-0.000001,1,0)</f>
        <v>1</v>
      </c>
      <c r="W6" s="15" t="n">
        <f aca="false">IF(Q6&gt;=$B$7-0.000001,1,0)</f>
        <v>1</v>
      </c>
      <c r="X6" s="15" t="n">
        <f aca="false">IF(V6=W6,1,0)</f>
        <v>1</v>
      </c>
      <c r="Y6" s="15" t="n">
        <f aca="false">IF(IF(S6&gt;=$B$7-0.000001,1,0)=W6,1,0)</f>
        <v>1</v>
      </c>
    </row>
    <row r="7" customFormat="false" ht="15" hidden="false" customHeight="false" outlineLevel="0" collapsed="false">
      <c r="A7" s="17" t="s">
        <v>77</v>
      </c>
      <c r="B7" s="18" t="n">
        <v>0.5</v>
      </c>
      <c r="N7" s="15" t="s">
        <v>42</v>
      </c>
      <c r="O7" s="15" t="s">
        <v>70</v>
      </c>
      <c r="P7" s="15" t="s">
        <v>78</v>
      </c>
      <c r="Q7" s="16" t="n">
        <f aca="false">SUMIFS('Hourly Usage'!G$4:G$63,'Hourly Usage'!$A$4:$A$63,"Year 3",'Hourly Usage'!$B$4:$B$63,$N7,'Hourly Usage'!$C$4:$C$63,$O7)</f>
        <v>0.750000000000003</v>
      </c>
      <c r="R7" s="16" t="n">
        <f aca="false">$B$5*SUMIFS('Hourly Usage'!G$4:G$63,'Hourly Usage'!$A$4:$A$63,"Year 1",'Hourly Usage'!$B$4:$B$63,$N7,'Hourly Usage'!$C$4:$C$63,$O7)+$B$6*SUMIFS('Hourly Usage'!G$4:G$63,'Hourly Usage'!$A$4:$A$63,"Year 2",'Hourly Usage'!$B$4:$B$63,$N7,'Hourly Usage'!$C$4:$C$63,$O7)</f>
        <v>0.200000000000001</v>
      </c>
      <c r="S7" s="16" t="n">
        <f aca="false">SUMIFS('Hourly Usage'!G$4:G$63,'Hourly Usage'!$A$4:$A$63,"Year 2",'Hourly Usage'!$B$4:$B$63,$N7,'Hourly Usage'!$C$4:$C$63,$O7)</f>
        <v>0</v>
      </c>
      <c r="T7" s="16" t="n">
        <f aca="false">ABS(Q7-R7)</f>
        <v>0.550000000000001</v>
      </c>
      <c r="U7" s="16" t="n">
        <f aca="false">ABS(Q7-S7)</f>
        <v>0.750000000000003</v>
      </c>
      <c r="V7" s="15" t="n">
        <f aca="false">IF(R7&gt;=$B$7-0.000001,1,0)</f>
        <v>0</v>
      </c>
      <c r="W7" s="15" t="n">
        <f aca="false">IF(Q7&gt;=$B$7-0.000001,1,0)</f>
        <v>1</v>
      </c>
      <c r="X7" s="15" t="n">
        <f aca="false">IF(V7=W7,1,0)</f>
        <v>0</v>
      </c>
      <c r="Y7" s="15" t="n">
        <f aca="false">IF(IF(S7&gt;=$B$7-0.000001,1,0)=W7,1,0)</f>
        <v>0</v>
      </c>
    </row>
    <row r="8" customFormat="false" ht="15" hidden="false" customHeight="false" outlineLevel="0" collapsed="false">
      <c r="N8" s="0" t="s">
        <v>42</v>
      </c>
      <c r="O8" s="0" t="s">
        <v>70</v>
      </c>
      <c r="P8" s="0" t="s">
        <v>79</v>
      </c>
      <c r="Q8" s="16" t="n">
        <f aca="false">SUMIFS('Hourly Usage'!H$4:H$63,'Hourly Usage'!$A$4:$A$63,"Year 3",'Hourly Usage'!$B$4:$B$63,$N8,'Hourly Usage'!$C$4:$C$63,$O8)</f>
        <v>0.999999999999996</v>
      </c>
      <c r="R8" s="16" t="n">
        <f aca="false">$B$5*SUMIFS('Hourly Usage'!H$4:H$63,'Hourly Usage'!$A$4:$A$63,"Year 1",'Hourly Usage'!$B$4:$B$63,$N8,'Hourly Usage'!$C$4:$C$63,$O8)+$B$6*SUMIFS('Hourly Usage'!H$4:H$63,'Hourly Usage'!$A$4:$A$63,"Year 2",'Hourly Usage'!$B$4:$B$63,$N8,'Hourly Usage'!$C$4:$C$63,$O8)</f>
        <v>0.999999999999996</v>
      </c>
      <c r="S8" s="16" t="n">
        <f aca="false">SUMIFS('Hourly Usage'!H$4:H$63,'Hourly Usage'!$A$4:$A$63,"Year 2",'Hourly Usage'!$B$4:$B$63,$N8,'Hourly Usage'!$C$4:$C$63,$O8)</f>
        <v>0.999999999999996</v>
      </c>
      <c r="T8" s="16" t="n">
        <f aca="false">ABS(Q8-R8)</f>
        <v>0</v>
      </c>
      <c r="U8" s="16" t="n">
        <f aca="false">ABS(Q8-S8)</f>
        <v>0</v>
      </c>
      <c r="V8" s="15" t="n">
        <f aca="false">IF(R8&gt;=$B$7-0.000001,1,0)</f>
        <v>1</v>
      </c>
      <c r="W8" s="15" t="n">
        <f aca="false">IF(Q8&gt;=$B$7-0.000001,1,0)</f>
        <v>1</v>
      </c>
      <c r="X8" s="15" t="n">
        <f aca="false">IF(V8=W8,1,0)</f>
        <v>1</v>
      </c>
      <c r="Y8" s="15" t="n">
        <f aca="false">IF(IF(S8&gt;=$B$7-0.000001,1,0)=W8,1,0)</f>
        <v>1</v>
      </c>
    </row>
    <row r="9" customFormat="false" ht="15" hidden="false" customHeight="false" outlineLevel="0" collapsed="false">
      <c r="A9" s="3" t="s">
        <v>80</v>
      </c>
      <c r="N9" s="15" t="s">
        <v>42</v>
      </c>
      <c r="O9" s="15" t="s">
        <v>70</v>
      </c>
      <c r="P9" s="15" t="s">
        <v>81</v>
      </c>
      <c r="Q9" s="16" t="n">
        <f aca="false">SUMIFS('Hourly Usage'!I$4:I$63,'Hourly Usage'!$A$4:$A$63,"Year 3",'Hourly Usage'!$B$4:$B$63,$N9,'Hourly Usage'!$C$4:$C$63,$O9)</f>
        <v>0.500000000000001</v>
      </c>
      <c r="R9" s="16" t="n">
        <f aca="false">$B$5*SUMIFS('Hourly Usage'!I$4:I$63,'Hourly Usage'!$A$4:$A$63,"Year 1",'Hourly Usage'!$B$4:$B$63,$N9,'Hourly Usage'!$C$4:$C$63,$O9)+$B$6*SUMIFS('Hourly Usage'!I$4:I$63,'Hourly Usage'!$A$4:$A$63,"Year 2",'Hourly Usage'!$B$4:$B$63,$N9,'Hourly Usage'!$C$4:$C$63,$O9)</f>
        <v>0.500000000000004</v>
      </c>
      <c r="S9" s="16" t="n">
        <f aca="false">SUMIFS('Hourly Usage'!I$4:I$63,'Hourly Usage'!$A$4:$A$63,"Year 2",'Hourly Usage'!$B$4:$B$63,$N9,'Hourly Usage'!$C$4:$C$63,$O9)</f>
        <v>0.500000000000004</v>
      </c>
      <c r="T9" s="16" t="n">
        <f aca="false">ABS(Q9-R9)</f>
        <v>2.66453525910038E-015</v>
      </c>
      <c r="U9" s="16" t="n">
        <f aca="false">ABS(Q9-S9)</f>
        <v>2.66453525910038E-015</v>
      </c>
      <c r="V9" s="15" t="n">
        <f aca="false">IF(R9&gt;=$B$7-0.000001,1,0)</f>
        <v>1</v>
      </c>
      <c r="W9" s="15" t="n">
        <f aca="false">IF(Q9&gt;=$B$7-0.000001,1,0)</f>
        <v>1</v>
      </c>
      <c r="X9" s="15" t="n">
        <f aca="false">IF(V9=W9,1,0)</f>
        <v>1</v>
      </c>
      <c r="Y9" s="15" t="n">
        <f aca="false">IF(IF(S9&gt;=$B$7-0.000001,1,0)=W9,1,0)</f>
        <v>1</v>
      </c>
    </row>
    <row r="10" customFormat="false" ht="30" hidden="false" customHeight="true" outlineLevel="0" collapsed="false">
      <c r="A10" s="8" t="s">
        <v>82</v>
      </c>
      <c r="B10" s="8" t="s">
        <v>61</v>
      </c>
      <c r="C10" s="8" t="s">
        <v>83</v>
      </c>
      <c r="D10" s="8" t="s">
        <v>84</v>
      </c>
      <c r="N10" s="15" t="s">
        <v>42</v>
      </c>
      <c r="O10" s="15" t="s">
        <v>70</v>
      </c>
      <c r="P10" s="15" t="s">
        <v>85</v>
      </c>
      <c r="Q10" s="16" t="n">
        <f aca="false">SUMIFS('Hourly Usage'!J$4:J$63,'Hourly Usage'!$A$4:$A$63,"Year 3",'Hourly Usage'!$B$4:$B$63,$N10,'Hourly Usage'!$C$4:$C$63,$O10)</f>
        <v>0</v>
      </c>
      <c r="R10" s="16" t="n">
        <f aca="false">$B$5*SUMIFS('Hourly Usage'!J$4:J$63,'Hourly Usage'!$A$4:$A$63,"Year 1",'Hourly Usage'!$B$4:$B$63,$N10,'Hourly Usage'!$C$4:$C$63,$O10)+$B$6*SUMIFS('Hourly Usage'!J$4:J$63,'Hourly Usage'!$A$4:$A$63,"Year 2",'Hourly Usage'!$B$4:$B$63,$N10,'Hourly Usage'!$C$4:$C$63,$O10)</f>
        <v>0</v>
      </c>
      <c r="S10" s="16" t="n">
        <f aca="false">SUMIFS('Hourly Usage'!J$4:J$63,'Hourly Usage'!$A$4:$A$63,"Year 2",'Hourly Usage'!$B$4:$B$63,$N10,'Hourly Usage'!$C$4:$C$63,$O10)</f>
        <v>0</v>
      </c>
      <c r="T10" s="16" t="n">
        <f aca="false">ABS(Q10-R10)</f>
        <v>0</v>
      </c>
      <c r="U10" s="16" t="n">
        <f aca="false">ABS(Q10-S10)</f>
        <v>0</v>
      </c>
      <c r="V10" s="15" t="n">
        <f aca="false">IF(R10&gt;=$B$7-0.000001,1,0)</f>
        <v>0</v>
      </c>
      <c r="W10" s="15" t="n">
        <f aca="false">IF(Q10&gt;=$B$7-0.000001,1,0)</f>
        <v>0</v>
      </c>
      <c r="X10" s="15" t="n">
        <f aca="false">IF(V10=W10,1,0)</f>
        <v>1</v>
      </c>
      <c r="Y10" s="15" t="n">
        <f aca="false">IF(IF(S10&gt;=$B$7-0.000001,1,0)=W10,1,0)</f>
        <v>1</v>
      </c>
    </row>
    <row r="11" customFormat="false" ht="15" hidden="false" customHeight="false" outlineLevel="0" collapsed="false">
      <c r="A11" s="17" t="s">
        <v>86</v>
      </c>
      <c r="B11" s="19" t="n">
        <f aca="false">SUM(F25:F66)/SUM(C25:C66)</f>
        <v>0.214123006833713</v>
      </c>
      <c r="C11" s="20" t="n">
        <f aca="false">SUM(G25:G66)/SUM(C25:C66)</f>
        <v>0.273348519362187</v>
      </c>
      <c r="D11" s="17" t="s">
        <v>87</v>
      </c>
      <c r="N11" s="15" t="s">
        <v>42</v>
      </c>
      <c r="O11" s="15" t="s">
        <v>70</v>
      </c>
      <c r="P11" s="15" t="s">
        <v>88</v>
      </c>
      <c r="Q11" s="16" t="n">
        <f aca="false">SUMIFS('Hourly Usage'!K$4:K$63,'Hourly Usage'!$A$4:$A$63,"Year 3",'Hourly Usage'!$B$4:$B$63,$N11,'Hourly Usage'!$C$4:$C$63,$O11)</f>
        <v>0.499999999999996</v>
      </c>
      <c r="R11" s="16" t="n">
        <f aca="false">$B$5*SUMIFS('Hourly Usage'!K$4:K$63,'Hourly Usage'!$A$4:$A$63,"Year 1",'Hourly Usage'!$B$4:$B$63,$N11,'Hourly Usage'!$C$4:$C$63,$O11)+$B$6*SUMIFS('Hourly Usage'!K$4:K$63,'Hourly Usage'!$A$4:$A$63,"Year 2",'Hourly Usage'!$B$4:$B$63,$N11,'Hourly Usage'!$C$4:$C$63,$O11)</f>
        <v>0.499999999999996</v>
      </c>
      <c r="S11" s="16" t="n">
        <f aca="false">SUMIFS('Hourly Usage'!K$4:K$63,'Hourly Usage'!$A$4:$A$63,"Year 2",'Hourly Usage'!$B$4:$B$63,$N11,'Hourly Usage'!$C$4:$C$63,$O11)</f>
        <v>0.499999999999996</v>
      </c>
      <c r="T11" s="16" t="n">
        <f aca="false">ABS(Q11-R11)</f>
        <v>0</v>
      </c>
      <c r="U11" s="16" t="n">
        <f aca="false">ABS(Q11-S11)</f>
        <v>0</v>
      </c>
      <c r="V11" s="15" t="n">
        <f aca="false">IF(R11&gt;=$B$7-0.000001,1,0)</f>
        <v>1</v>
      </c>
      <c r="W11" s="15" t="n">
        <f aca="false">IF(Q11&gt;=$B$7-0.000001,1,0)</f>
        <v>1</v>
      </c>
      <c r="X11" s="15" t="n">
        <f aca="false">IF(V11=W11,1,0)</f>
        <v>1</v>
      </c>
      <c r="Y11" s="15" t="n">
        <f aca="false">IF(IF(S11&gt;=$B$7-0.000001,1,0)=W11,1,0)</f>
        <v>1</v>
      </c>
    </row>
    <row r="12" customFormat="false" ht="15" hidden="false" customHeight="false" outlineLevel="0" collapsed="false">
      <c r="A12" s="17" t="s">
        <v>89</v>
      </c>
      <c r="B12" s="21" t="n">
        <f aca="false">AVERAGE(F25:F66)</f>
        <v>2.23809523809524</v>
      </c>
      <c r="C12" s="22" t="n">
        <f aca="false">AVERAGE(G25:G66)</f>
        <v>2.85714285714286</v>
      </c>
      <c r="D12" s="17" t="s">
        <v>90</v>
      </c>
      <c r="N12" s="15" t="s">
        <v>42</v>
      </c>
      <c r="O12" s="15" t="s">
        <v>70</v>
      </c>
      <c r="P12" s="15" t="s">
        <v>91</v>
      </c>
      <c r="Q12" s="16" t="n">
        <f aca="false">SUMIFS('Hourly Usage'!L$4:L$63,'Hourly Usage'!$A$4:$A$63,"Year 3",'Hourly Usage'!$B$4:$B$63,$N12,'Hourly Usage'!$C$4:$C$63,$O12)</f>
        <v>1</v>
      </c>
      <c r="R12" s="16" t="n">
        <f aca="false">$B$5*SUMIFS('Hourly Usage'!L$4:L$63,'Hourly Usage'!$A$4:$A$63,"Year 1",'Hourly Usage'!$B$4:$B$63,$N12,'Hourly Usage'!$C$4:$C$63,$O12)+$B$6*SUMIFS('Hourly Usage'!L$4:L$63,'Hourly Usage'!$A$4:$A$63,"Year 2",'Hourly Usage'!$B$4:$B$63,$N12,'Hourly Usage'!$C$4:$C$63,$O12)</f>
        <v>1</v>
      </c>
      <c r="S12" s="16" t="n">
        <f aca="false">SUMIFS('Hourly Usage'!L$4:L$63,'Hourly Usage'!$A$4:$A$63,"Year 2",'Hourly Usage'!$B$4:$B$63,$N12,'Hourly Usage'!$C$4:$C$63,$O12)</f>
        <v>1</v>
      </c>
      <c r="T12" s="16" t="n">
        <f aca="false">ABS(Q12-R12)</f>
        <v>0</v>
      </c>
      <c r="U12" s="16" t="n">
        <f aca="false">ABS(Q12-S12)</f>
        <v>0</v>
      </c>
      <c r="V12" s="15" t="n">
        <f aca="false">IF(R12&gt;=$B$7-0.000001,1,0)</f>
        <v>1</v>
      </c>
      <c r="W12" s="15" t="n">
        <f aca="false">IF(Q12&gt;=$B$7-0.000001,1,0)</f>
        <v>1</v>
      </c>
      <c r="X12" s="15" t="n">
        <f aca="false">IF(V12=W12,1,0)</f>
        <v>1</v>
      </c>
      <c r="Y12" s="15" t="n">
        <f aca="false">IF(IF(S12&gt;=$B$7-0.000001,1,0)=W12,1,0)</f>
        <v>1</v>
      </c>
    </row>
    <row r="13" customFormat="false" ht="15" hidden="false" customHeight="false" outlineLevel="0" collapsed="false">
      <c r="A13" s="17" t="s">
        <v>92</v>
      </c>
      <c r="B13" s="23" t="n">
        <f aca="false">SUM(D25:D66)/SUM(C25:C66)-1</f>
        <v>0.14123006833713</v>
      </c>
      <c r="C13" s="24" t="n">
        <f aca="false">SUM(E25:E66)/SUM(C25:C66)-1</f>
        <v>0.164009111617312</v>
      </c>
      <c r="D13" s="17" t="s">
        <v>93</v>
      </c>
      <c r="N13" s="15" t="s">
        <v>42</v>
      </c>
      <c r="O13" s="15" t="s">
        <v>94</v>
      </c>
      <c r="P13" s="15" t="s">
        <v>71</v>
      </c>
      <c r="Q13" s="16" t="n">
        <f aca="false">SUMIFS('Hourly Usage'!D$4:D$63,'Hourly Usage'!$A$4:$A$63,"Year 3",'Hourly Usage'!$B$4:$B$63,$N13,'Hourly Usage'!$C$4:$C$63,$O13)</f>
        <v>0</v>
      </c>
      <c r="R13" s="16" t="n">
        <f aca="false">$B$5*SUMIFS('Hourly Usage'!D$4:D$63,'Hourly Usage'!$A$4:$A$63,"Year 1",'Hourly Usage'!$B$4:$B$63,$N13,'Hourly Usage'!$C$4:$C$63,$O13)+$B$6*SUMIFS('Hourly Usage'!D$4:D$63,'Hourly Usage'!$A$4:$A$63,"Year 2",'Hourly Usage'!$B$4:$B$63,$N13,'Hourly Usage'!$C$4:$C$63,$O13)</f>
        <v>0</v>
      </c>
      <c r="S13" s="16" t="n">
        <f aca="false">SUMIFS('Hourly Usage'!D$4:D$63,'Hourly Usage'!$A$4:$A$63,"Year 2",'Hourly Usage'!$B$4:$B$63,$N13,'Hourly Usage'!$C$4:$C$63,$O13)</f>
        <v>0</v>
      </c>
      <c r="T13" s="16" t="n">
        <f aca="false">ABS(Q13-R13)</f>
        <v>0</v>
      </c>
      <c r="U13" s="16" t="n">
        <f aca="false">ABS(Q13-S13)</f>
        <v>0</v>
      </c>
      <c r="V13" s="15" t="n">
        <f aca="false">IF(R13&gt;=$B$7-0.000001,1,0)</f>
        <v>0</v>
      </c>
      <c r="W13" s="15" t="n">
        <f aca="false">IF(Q13&gt;=$B$7-0.000001,1,0)</f>
        <v>0</v>
      </c>
      <c r="X13" s="15" t="n">
        <f aca="false">IF(V13=W13,1,0)</f>
        <v>1</v>
      </c>
      <c r="Y13" s="15" t="n">
        <f aca="false">IF(IF(S13&gt;=$B$7-0.000001,1,0)=W13,1,0)</f>
        <v>1</v>
      </c>
    </row>
    <row r="14" customFormat="false" ht="15" hidden="false" customHeight="false" outlineLevel="0" collapsed="false">
      <c r="A14" s="17" t="s">
        <v>95</v>
      </c>
      <c r="B14" s="19" t="n">
        <f aca="false">SUM(K25:K66)/SUM(H25:H66)</f>
        <v>0.21115797037722</v>
      </c>
      <c r="C14" s="20" t="n">
        <f aca="false">SUM(L25:L66)/SUM(H25:H66)</f>
        <v>0.264775016246941</v>
      </c>
      <c r="D14" s="17" t="s">
        <v>96</v>
      </c>
      <c r="N14" s="15" t="s">
        <v>42</v>
      </c>
      <c r="O14" s="15" t="s">
        <v>94</v>
      </c>
      <c r="P14" s="15" t="s">
        <v>74</v>
      </c>
      <c r="Q14" s="16" t="n">
        <f aca="false">SUMIFS('Hourly Usage'!E$4:E$63,'Hourly Usage'!$A$4:$A$63,"Year 3",'Hourly Usage'!$B$4:$B$63,$N14,'Hourly Usage'!$C$4:$C$63,$O14)</f>
        <v>0</v>
      </c>
      <c r="R14" s="16" t="n">
        <f aca="false">$B$5*SUMIFS('Hourly Usage'!E$4:E$63,'Hourly Usage'!$A$4:$A$63,"Year 1",'Hourly Usage'!$B$4:$B$63,$N14,'Hourly Usage'!$C$4:$C$63,$O14)+$B$6*SUMIFS('Hourly Usage'!E$4:E$63,'Hourly Usage'!$A$4:$A$63,"Year 2",'Hourly Usage'!$B$4:$B$63,$N14,'Hourly Usage'!$C$4:$C$63,$O14)</f>
        <v>0.599999999999999</v>
      </c>
      <c r="S14" s="16" t="n">
        <f aca="false">SUMIFS('Hourly Usage'!E$4:E$63,'Hourly Usage'!$A$4:$A$63,"Year 2",'Hourly Usage'!$B$4:$B$63,$N14,'Hourly Usage'!$C$4:$C$63,$O14)</f>
        <v>0.999999999999999</v>
      </c>
      <c r="T14" s="16" t="n">
        <f aca="false">ABS(Q14-R14)</f>
        <v>0.599999999999999</v>
      </c>
      <c r="U14" s="16" t="n">
        <f aca="false">ABS(Q14-S14)</f>
        <v>0.999999999999999</v>
      </c>
      <c r="V14" s="15" t="n">
        <f aca="false">IF(R14&gt;=$B$7-0.000001,1,0)</f>
        <v>1</v>
      </c>
      <c r="W14" s="15" t="n">
        <f aca="false">IF(Q14&gt;=$B$7-0.000001,1,0)</f>
        <v>0</v>
      </c>
      <c r="X14" s="15" t="n">
        <f aca="false">IF(V14=W14,1,0)</f>
        <v>0</v>
      </c>
      <c r="Y14" s="15" t="n">
        <f aca="false">IF(IF(S14&gt;=$B$7-0.000001,1,0)=W14,1,0)</f>
        <v>0</v>
      </c>
    </row>
    <row r="15" customFormat="false" ht="15" hidden="false" customHeight="false" outlineLevel="0" collapsed="false">
      <c r="A15" s="17" t="s">
        <v>97</v>
      </c>
      <c r="B15" s="23" t="n">
        <f aca="false">SUM(I25:I66)/SUM(H25:H66)-1</f>
        <v>0.0962546147582228</v>
      </c>
      <c r="C15" s="24" t="n">
        <f aca="false">SUM(J25:J66)/SUM(H25:H66)-1</f>
        <v>0.138093856277739</v>
      </c>
      <c r="D15" s="17" t="s">
        <v>98</v>
      </c>
      <c r="N15" s="15" t="s">
        <v>42</v>
      </c>
      <c r="O15" s="15" t="s">
        <v>94</v>
      </c>
      <c r="P15" s="15" t="s">
        <v>76</v>
      </c>
      <c r="Q15" s="16" t="n">
        <f aca="false">SUMIFS('Hourly Usage'!F$4:F$63,'Hourly Usage'!$A$4:$A$63,"Year 3",'Hourly Usage'!$B$4:$B$63,$N15,'Hourly Usage'!$C$4:$C$63,$O15)</f>
        <v>0</v>
      </c>
      <c r="R15" s="16" t="n">
        <f aca="false">$B$5*SUMIFS('Hourly Usage'!F$4:F$63,'Hourly Usage'!$A$4:$A$63,"Year 1",'Hourly Usage'!$B$4:$B$63,$N15,'Hourly Usage'!$C$4:$C$63,$O15)+$B$6*SUMIFS('Hourly Usage'!F$4:F$63,'Hourly Usage'!$A$4:$A$63,"Year 2",'Hourly Usage'!$B$4:$B$63,$N15,'Hourly Usage'!$C$4:$C$63,$O15)</f>
        <v>0.599999999999999</v>
      </c>
      <c r="S15" s="16" t="n">
        <f aca="false">SUMIFS('Hourly Usage'!F$4:F$63,'Hourly Usage'!$A$4:$A$63,"Year 2",'Hourly Usage'!$B$4:$B$63,$N15,'Hourly Usage'!$C$4:$C$63,$O15)</f>
        <v>0.999999999999999</v>
      </c>
      <c r="T15" s="16" t="n">
        <f aca="false">ABS(Q15-R15)</f>
        <v>0.599999999999999</v>
      </c>
      <c r="U15" s="16" t="n">
        <f aca="false">ABS(Q15-S15)</f>
        <v>0.999999999999999</v>
      </c>
      <c r="V15" s="15" t="n">
        <f aca="false">IF(R15&gt;=$B$7-0.000001,1,0)</f>
        <v>1</v>
      </c>
      <c r="W15" s="15" t="n">
        <f aca="false">IF(Q15&gt;=$B$7-0.000001,1,0)</f>
        <v>0</v>
      </c>
      <c r="X15" s="15" t="n">
        <f aca="false">IF(V15=W15,1,0)</f>
        <v>0</v>
      </c>
      <c r="Y15" s="15" t="n">
        <f aca="false">IF(IF(S15&gt;=$B$7-0.000001,1,0)=W15,1,0)</f>
        <v>0</v>
      </c>
    </row>
    <row r="16" customFormat="false" ht="15" hidden="false" customHeight="false" outlineLevel="0" collapsed="false">
      <c r="A16" s="17" t="s">
        <v>99</v>
      </c>
      <c r="B16" s="19" t="n">
        <f aca="false">AVERAGE(T4:T183)</f>
        <v>0.305833333333333</v>
      </c>
      <c r="C16" s="20" t="n">
        <f aca="false">AVERAGE(U4:U183)</f>
        <v>0.314351851851852</v>
      </c>
      <c r="D16" s="17" t="s">
        <v>100</v>
      </c>
      <c r="N16" s="15" t="s">
        <v>42</v>
      </c>
      <c r="O16" s="15" t="s">
        <v>94</v>
      </c>
      <c r="P16" s="15" t="s">
        <v>78</v>
      </c>
      <c r="Q16" s="16" t="n">
        <f aca="false">SUMIFS('Hourly Usage'!G$4:G$63,'Hourly Usage'!$A$4:$A$63,"Year 3",'Hourly Usage'!$B$4:$B$63,$N16,'Hourly Usage'!$C$4:$C$63,$O16)</f>
        <v>0</v>
      </c>
      <c r="R16" s="16" t="n">
        <f aca="false">$B$5*SUMIFS('Hourly Usage'!G$4:G$63,'Hourly Usage'!$A$4:$A$63,"Year 1",'Hourly Usage'!$B$4:$B$63,$N16,'Hourly Usage'!$C$4:$C$63,$O16)+$B$6*SUMIFS('Hourly Usage'!G$4:G$63,'Hourly Usage'!$A$4:$A$63,"Year 2",'Hourly Usage'!$B$4:$B$63,$N16,'Hourly Usage'!$C$4:$C$63,$O16)</f>
        <v>0.6</v>
      </c>
      <c r="S16" s="16" t="n">
        <f aca="false">SUMIFS('Hourly Usage'!G$4:G$63,'Hourly Usage'!$A$4:$A$63,"Year 2",'Hourly Usage'!$B$4:$B$63,$N16,'Hourly Usage'!$C$4:$C$63,$O16)</f>
        <v>1</v>
      </c>
      <c r="T16" s="16" t="n">
        <f aca="false">ABS(Q16-R16)</f>
        <v>0.6</v>
      </c>
      <c r="U16" s="16" t="n">
        <f aca="false">ABS(Q16-S16)</f>
        <v>1</v>
      </c>
      <c r="V16" s="15" t="n">
        <f aca="false">IF(R16&gt;=$B$7-0.000001,1,0)</f>
        <v>1</v>
      </c>
      <c r="W16" s="15" t="n">
        <f aca="false">IF(Q16&gt;=$B$7-0.000001,1,0)</f>
        <v>0</v>
      </c>
      <c r="X16" s="15" t="n">
        <f aca="false">IF(V16=W16,1,0)</f>
        <v>0</v>
      </c>
      <c r="Y16" s="15" t="n">
        <f aca="false">IF(IF(S16&gt;=$B$7-0.000001,1,0)=W16,1,0)</f>
        <v>0</v>
      </c>
    </row>
    <row r="17" customFormat="false" ht="15" hidden="false" customHeight="false" outlineLevel="0" collapsed="false">
      <c r="A17" s="17" t="s">
        <v>101</v>
      </c>
      <c r="B17" s="19" t="n">
        <f aca="false">AVERAGE(X4:X183)</f>
        <v>0.661111111111111</v>
      </c>
      <c r="C17" s="20" t="n">
        <f aca="false">AVERAGE(Y4:Y183)</f>
        <v>0.644444444444445</v>
      </c>
      <c r="D17" s="17" t="s">
        <v>102</v>
      </c>
      <c r="N17" s="15" t="s">
        <v>42</v>
      </c>
      <c r="O17" s="15" t="s">
        <v>94</v>
      </c>
      <c r="P17" s="15" t="s">
        <v>79</v>
      </c>
      <c r="Q17" s="16" t="n">
        <f aca="false">SUMIFS('Hourly Usage'!H$4:H$63,'Hourly Usage'!$A$4:$A$63,"Year 3",'Hourly Usage'!$B$4:$B$63,$N17,'Hourly Usage'!$C$4:$C$63,$O17)</f>
        <v>0</v>
      </c>
      <c r="R17" s="16" t="n">
        <f aca="false">$B$5*SUMIFS('Hourly Usage'!H$4:H$63,'Hourly Usage'!$A$4:$A$63,"Year 1",'Hourly Usage'!$B$4:$B$63,$N17,'Hourly Usage'!$C$4:$C$63,$O17)+$B$6*SUMIFS('Hourly Usage'!H$4:H$63,'Hourly Usage'!$A$4:$A$63,"Year 2",'Hourly Usage'!$B$4:$B$63,$N17,'Hourly Usage'!$C$4:$C$63,$O17)</f>
        <v>0.7</v>
      </c>
      <c r="S17" s="16" t="n">
        <f aca="false">SUMIFS('Hourly Usage'!H$4:H$63,'Hourly Usage'!$A$4:$A$63,"Year 2",'Hourly Usage'!$B$4:$B$63,$N17,'Hourly Usage'!$C$4:$C$63,$O17)</f>
        <v>0.500000000000001</v>
      </c>
      <c r="T17" s="16" t="n">
        <f aca="false">ABS(Q17-R17)</f>
        <v>0.7</v>
      </c>
      <c r="U17" s="16" t="n">
        <f aca="false">ABS(Q17-S17)</f>
        <v>0.500000000000001</v>
      </c>
      <c r="V17" s="15" t="n">
        <f aca="false">IF(R17&gt;=$B$7-0.000001,1,0)</f>
        <v>1</v>
      </c>
      <c r="W17" s="15" t="n">
        <f aca="false">IF(Q17&gt;=$B$7-0.000001,1,0)</f>
        <v>0</v>
      </c>
      <c r="X17" s="15" t="n">
        <f aca="false">IF(V17=W17,1,0)</f>
        <v>0</v>
      </c>
      <c r="Y17" s="15" t="n">
        <f aca="false">IF(IF(S17&gt;=$B$7-0.000001,1,0)=W17,1,0)</f>
        <v>0</v>
      </c>
    </row>
    <row r="18" customFormat="false" ht="15" hidden="false" customHeight="false" outlineLevel="0" collapsed="false">
      <c r="N18" s="0" t="s">
        <v>42</v>
      </c>
      <c r="O18" s="0" t="s">
        <v>94</v>
      </c>
      <c r="P18" s="0" t="s">
        <v>81</v>
      </c>
      <c r="Q18" s="16" t="n">
        <f aca="false">SUMIFS('Hourly Usage'!I$4:I$63,'Hourly Usage'!$A$4:$A$63,"Year 3",'Hourly Usage'!$B$4:$B$63,$N18,'Hourly Usage'!$C$4:$C$63,$O18)</f>
        <v>1</v>
      </c>
      <c r="R18" s="16" t="n">
        <f aca="false">$B$5*SUMIFS('Hourly Usage'!I$4:I$63,'Hourly Usage'!$A$4:$A$63,"Year 1",'Hourly Usage'!$B$4:$B$63,$N18,'Hourly Usage'!$C$4:$C$63,$O18)+$B$6*SUMIFS('Hourly Usage'!I$4:I$63,'Hourly Usage'!$A$4:$A$63,"Year 2",'Hourly Usage'!$B$4:$B$63,$N18,'Hourly Usage'!$C$4:$C$63,$O18)</f>
        <v>1</v>
      </c>
      <c r="S18" s="16" t="n">
        <f aca="false">SUMIFS('Hourly Usage'!I$4:I$63,'Hourly Usage'!$A$4:$A$63,"Year 2",'Hourly Usage'!$B$4:$B$63,$N18,'Hourly Usage'!$C$4:$C$63,$O18)</f>
        <v>1</v>
      </c>
      <c r="T18" s="16" t="n">
        <f aca="false">ABS(Q18-R18)</f>
        <v>0</v>
      </c>
      <c r="U18" s="16" t="n">
        <f aca="false">ABS(Q18-S18)</f>
        <v>0</v>
      </c>
      <c r="V18" s="15" t="n">
        <f aca="false">IF(R18&gt;=$B$7-0.000001,1,0)</f>
        <v>1</v>
      </c>
      <c r="W18" s="15" t="n">
        <f aca="false">IF(Q18&gt;=$B$7-0.000001,1,0)</f>
        <v>1</v>
      </c>
      <c r="X18" s="15" t="n">
        <f aca="false">IF(V18=W18,1,0)</f>
        <v>1</v>
      </c>
      <c r="Y18" s="15" t="n">
        <f aca="false">IF(IF(S18&gt;=$B$7-0.000001,1,0)=W18,1,0)</f>
        <v>1</v>
      </c>
    </row>
    <row r="19" customFormat="false" ht="15" hidden="false" customHeight="false" outlineLevel="0" collapsed="false">
      <c r="A19" s="7" t="s">
        <v>103</v>
      </c>
      <c r="N19" s="15" t="s">
        <v>42</v>
      </c>
      <c r="O19" s="15" t="s">
        <v>94</v>
      </c>
      <c r="P19" s="15" t="s">
        <v>85</v>
      </c>
      <c r="Q19" s="16" t="n">
        <f aca="false">SUMIFS('Hourly Usage'!J$4:J$63,'Hourly Usage'!$A$4:$A$63,"Year 3",'Hourly Usage'!$B$4:$B$63,$N19,'Hourly Usage'!$C$4:$C$63,$O19)</f>
        <v>0.999999999999999</v>
      </c>
      <c r="R19" s="16" t="n">
        <f aca="false">$B$5*SUMIFS('Hourly Usage'!J$4:J$63,'Hourly Usage'!$A$4:$A$63,"Year 1",'Hourly Usage'!$B$4:$B$63,$N19,'Hourly Usage'!$C$4:$C$63,$O19)+$B$6*SUMIFS('Hourly Usage'!J$4:J$63,'Hourly Usage'!$A$4:$A$63,"Year 2",'Hourly Usage'!$B$4:$B$63,$N19,'Hourly Usage'!$C$4:$C$63,$O19)</f>
        <v>0.599999999999999</v>
      </c>
      <c r="S19" s="16" t="n">
        <f aca="false">SUMIFS('Hourly Usage'!J$4:J$63,'Hourly Usage'!$A$4:$A$63,"Year 2",'Hourly Usage'!$B$4:$B$63,$N19,'Hourly Usage'!$C$4:$C$63,$O19)</f>
        <v>0.999999999999999</v>
      </c>
      <c r="T19" s="16" t="n">
        <f aca="false">ABS(Q19-R19)</f>
        <v>0.4</v>
      </c>
      <c r="U19" s="16" t="n">
        <f aca="false">ABS(Q19-S19)</f>
        <v>0</v>
      </c>
      <c r="V19" s="15" t="n">
        <f aca="false">IF(R19&gt;=$B$7-0.000001,1,0)</f>
        <v>1</v>
      </c>
      <c r="W19" s="15" t="n">
        <f aca="false">IF(Q19&gt;=$B$7-0.000001,1,0)</f>
        <v>1</v>
      </c>
      <c r="X19" s="15" t="n">
        <f aca="false">IF(V19=W19,1,0)</f>
        <v>1</v>
      </c>
      <c r="Y19" s="15" t="n">
        <f aca="false">IF(IF(S19&gt;=$B$7-0.000001,1,0)=W19,1,0)</f>
        <v>1</v>
      </c>
    </row>
    <row r="20" customFormat="false" ht="15" hidden="false" customHeight="false" outlineLevel="0" collapsed="false">
      <c r="A20" s="7" t="s">
        <v>104</v>
      </c>
      <c r="N20" s="15" t="s">
        <v>42</v>
      </c>
      <c r="O20" s="15" t="s">
        <v>94</v>
      </c>
      <c r="P20" s="15" t="s">
        <v>88</v>
      </c>
      <c r="Q20" s="16" t="n">
        <f aca="false">SUMIFS('Hourly Usage'!K$4:K$63,'Hourly Usage'!$A$4:$A$63,"Year 3",'Hourly Usage'!$B$4:$B$63,$N20,'Hourly Usage'!$C$4:$C$63,$O20)</f>
        <v>0.500000000000001</v>
      </c>
      <c r="R20" s="16" t="n">
        <f aca="false">$B$5*SUMIFS('Hourly Usage'!K$4:K$63,'Hourly Usage'!$A$4:$A$63,"Year 1",'Hourly Usage'!$B$4:$B$63,$N20,'Hourly Usage'!$C$4:$C$63,$O20)+$B$6*SUMIFS('Hourly Usage'!K$4:K$63,'Hourly Usage'!$A$4:$A$63,"Year 2",'Hourly Usage'!$B$4:$B$63,$N20,'Hourly Usage'!$C$4:$C$63,$O20)</f>
        <v>0.999999999999996</v>
      </c>
      <c r="S20" s="16" t="n">
        <f aca="false">SUMIFS('Hourly Usage'!K$4:K$63,'Hourly Usage'!$A$4:$A$63,"Year 2",'Hourly Usage'!$B$4:$B$63,$N20,'Hourly Usage'!$C$4:$C$63,$O20)</f>
        <v>0.999999999999996</v>
      </c>
      <c r="T20" s="16" t="n">
        <f aca="false">ABS(Q20-R20)</f>
        <v>0.499999999999996</v>
      </c>
      <c r="U20" s="16" t="n">
        <f aca="false">ABS(Q20-S20)</f>
        <v>0.499999999999996</v>
      </c>
      <c r="V20" s="15" t="n">
        <f aca="false">IF(R20&gt;=$B$7-0.000001,1,0)</f>
        <v>1</v>
      </c>
      <c r="W20" s="15" t="n">
        <f aca="false">IF(Q20&gt;=$B$7-0.000001,1,0)</f>
        <v>1</v>
      </c>
      <c r="X20" s="15" t="n">
        <f aca="false">IF(V20=W20,1,0)</f>
        <v>1</v>
      </c>
      <c r="Y20" s="15" t="n">
        <f aca="false">IF(IF(S20&gt;=$B$7-0.000001,1,0)=W20,1,0)</f>
        <v>1</v>
      </c>
    </row>
    <row r="21" customFormat="false" ht="15" hidden="false" customHeight="false" outlineLevel="0" collapsed="false">
      <c r="N21" s="0" t="s">
        <v>42</v>
      </c>
      <c r="O21" s="0" t="s">
        <v>94</v>
      </c>
      <c r="P21" s="0" t="s">
        <v>91</v>
      </c>
      <c r="Q21" s="16" t="n">
        <f aca="false">SUMIFS('Hourly Usage'!L$4:L$63,'Hourly Usage'!$A$4:$A$63,"Year 3",'Hourly Usage'!$B$4:$B$63,$N21,'Hourly Usage'!$C$4:$C$63,$O21)</f>
        <v>0</v>
      </c>
      <c r="R21" s="16" t="n">
        <f aca="false">$B$5*SUMIFS('Hourly Usage'!L$4:L$63,'Hourly Usage'!$A$4:$A$63,"Year 1",'Hourly Usage'!$B$4:$B$63,$N21,'Hourly Usage'!$C$4:$C$63,$O21)+$B$6*SUMIFS('Hourly Usage'!L$4:L$63,'Hourly Usage'!$A$4:$A$63,"Year 2",'Hourly Usage'!$B$4:$B$63,$N21,'Hourly Usage'!$C$4:$C$63,$O21)</f>
        <v>0.500000000000004</v>
      </c>
      <c r="S21" s="16" t="n">
        <f aca="false">SUMIFS('Hourly Usage'!L$4:L$63,'Hourly Usage'!$A$4:$A$63,"Year 2",'Hourly Usage'!$B$4:$B$63,$N21,'Hourly Usage'!$C$4:$C$63,$O21)</f>
        <v>0.500000000000004</v>
      </c>
      <c r="T21" s="16" t="n">
        <f aca="false">ABS(Q21-R21)</f>
        <v>0.500000000000004</v>
      </c>
      <c r="U21" s="16" t="n">
        <f aca="false">ABS(Q21-S21)</f>
        <v>0.500000000000004</v>
      </c>
      <c r="V21" s="15" t="n">
        <f aca="false">IF(R21&gt;=$B$7-0.000001,1,0)</f>
        <v>1</v>
      </c>
      <c r="W21" s="15" t="n">
        <f aca="false">IF(Q21&gt;=$B$7-0.000001,1,0)</f>
        <v>0</v>
      </c>
      <c r="X21" s="15" t="n">
        <f aca="false">IF(V21=W21,1,0)</f>
        <v>0</v>
      </c>
      <c r="Y21" s="15" t="n">
        <f aca="false">IF(IF(S21&gt;=$B$7-0.000001,1,0)=W21,1,0)</f>
        <v>0</v>
      </c>
    </row>
    <row r="22" customFormat="false" ht="15" hidden="false" customHeight="false" outlineLevel="0" collapsed="false">
      <c r="N22" s="0" t="s">
        <v>42</v>
      </c>
      <c r="O22" s="0" t="s">
        <v>105</v>
      </c>
      <c r="P22" s="0" t="s">
        <v>71</v>
      </c>
      <c r="Q22" s="16" t="n">
        <f aca="false">SUMIFS('Hourly Usage'!D$4:D$63,'Hourly Usage'!$A$4:$A$63,"Year 3",'Hourly Usage'!$B$4:$B$63,$N22,'Hourly Usage'!$C$4:$C$63,$O22)</f>
        <v>0</v>
      </c>
      <c r="R22" s="16" t="n">
        <f aca="false">$B$5*SUMIFS('Hourly Usage'!D$4:D$63,'Hourly Usage'!$A$4:$A$63,"Year 1",'Hourly Usage'!$B$4:$B$63,$N22,'Hourly Usage'!$C$4:$C$63,$O22)+$B$6*SUMIFS('Hourly Usage'!D$4:D$63,'Hourly Usage'!$A$4:$A$63,"Year 2",'Hourly Usage'!$B$4:$B$63,$N22,'Hourly Usage'!$C$4:$C$63,$O22)</f>
        <v>0</v>
      </c>
      <c r="S22" s="16" t="n">
        <f aca="false">SUMIFS('Hourly Usage'!D$4:D$63,'Hourly Usage'!$A$4:$A$63,"Year 2",'Hourly Usage'!$B$4:$B$63,$N22,'Hourly Usage'!$C$4:$C$63,$O22)</f>
        <v>0</v>
      </c>
      <c r="T22" s="16" t="n">
        <f aca="false">ABS(Q22-R22)</f>
        <v>0</v>
      </c>
      <c r="U22" s="16" t="n">
        <f aca="false">ABS(Q22-S22)</f>
        <v>0</v>
      </c>
      <c r="V22" s="15" t="n">
        <f aca="false">IF(R22&gt;=$B$7-0.000001,1,0)</f>
        <v>0</v>
      </c>
      <c r="W22" s="15" t="n">
        <f aca="false">IF(Q22&gt;=$B$7-0.000001,1,0)</f>
        <v>0</v>
      </c>
      <c r="X22" s="15" t="n">
        <f aca="false">IF(V22=W22,1,0)</f>
        <v>1</v>
      </c>
      <c r="Y22" s="15" t="n">
        <f aca="false">IF(IF(S22&gt;=$B$7-0.000001,1,0)=W22,1,0)</f>
        <v>1</v>
      </c>
    </row>
    <row r="23" customFormat="false" ht="15" hidden="false" customHeight="false" outlineLevel="0" collapsed="false">
      <c r="N23" s="0" t="s">
        <v>42</v>
      </c>
      <c r="O23" s="0" t="s">
        <v>105</v>
      </c>
      <c r="P23" s="0" t="s">
        <v>74</v>
      </c>
      <c r="Q23" s="16" t="n">
        <f aca="false">SUMIFS('Hourly Usage'!E$4:E$63,'Hourly Usage'!$A$4:$A$63,"Year 3",'Hourly Usage'!$B$4:$B$63,$N23,'Hourly Usage'!$C$4:$C$63,$O23)</f>
        <v>0</v>
      </c>
      <c r="R23" s="16" t="n">
        <f aca="false">$B$5*SUMIFS('Hourly Usage'!E$4:E$63,'Hourly Usage'!$A$4:$A$63,"Year 1",'Hourly Usage'!$B$4:$B$63,$N23,'Hourly Usage'!$C$4:$C$63,$O23)+$B$6*SUMIFS('Hourly Usage'!E$4:E$63,'Hourly Usage'!$A$4:$A$63,"Year 2",'Hourly Usage'!$B$4:$B$63,$N23,'Hourly Usage'!$C$4:$C$63,$O23)</f>
        <v>0.4</v>
      </c>
      <c r="S23" s="16" t="n">
        <f aca="false">SUMIFS('Hourly Usage'!E$4:E$63,'Hourly Usage'!$A$4:$A$63,"Year 2",'Hourly Usage'!$B$4:$B$63,$N23,'Hourly Usage'!$C$4:$C$63,$O23)</f>
        <v>0</v>
      </c>
      <c r="T23" s="16" t="n">
        <f aca="false">ABS(Q23-R23)</f>
        <v>0.4</v>
      </c>
      <c r="U23" s="16" t="n">
        <f aca="false">ABS(Q23-S23)</f>
        <v>0</v>
      </c>
      <c r="V23" s="15" t="n">
        <f aca="false">IF(R23&gt;=$B$7-0.000001,1,0)</f>
        <v>0</v>
      </c>
      <c r="W23" s="15" t="n">
        <f aca="false">IF(Q23&gt;=$B$7-0.000001,1,0)</f>
        <v>0</v>
      </c>
      <c r="X23" s="15" t="n">
        <f aca="false">IF(V23=W23,1,0)</f>
        <v>1</v>
      </c>
      <c r="Y23" s="15" t="n">
        <f aca="false">IF(IF(S23&gt;=$B$7-0.000001,1,0)=W23,1,0)</f>
        <v>1</v>
      </c>
    </row>
    <row r="24" customFormat="false" ht="30" hidden="false" customHeight="true" outlineLevel="0" collapsed="false">
      <c r="A24" s="8" t="s">
        <v>31</v>
      </c>
      <c r="B24" s="8" t="s">
        <v>106</v>
      </c>
      <c r="C24" s="8" t="s">
        <v>107</v>
      </c>
      <c r="D24" s="8" t="s">
        <v>108</v>
      </c>
      <c r="E24" s="8" t="s">
        <v>109</v>
      </c>
      <c r="F24" s="8" t="s">
        <v>110</v>
      </c>
      <c r="G24" s="8" t="s">
        <v>111</v>
      </c>
      <c r="H24" s="8" t="s">
        <v>112</v>
      </c>
      <c r="I24" s="8" t="s">
        <v>113</v>
      </c>
      <c r="J24" s="8" t="s">
        <v>114</v>
      </c>
      <c r="K24" s="8" t="s">
        <v>115</v>
      </c>
      <c r="L24" s="8" t="s">
        <v>116</v>
      </c>
      <c r="N24" s="15" t="s">
        <v>42</v>
      </c>
      <c r="O24" s="15" t="s">
        <v>105</v>
      </c>
      <c r="P24" s="15" t="s">
        <v>76</v>
      </c>
      <c r="Q24" s="16" t="n">
        <f aca="false">SUMIFS('Hourly Usage'!F$4:F$63,'Hourly Usage'!$A$4:$A$63,"Year 3",'Hourly Usage'!$B$4:$B$63,$N24,'Hourly Usage'!$C$4:$C$63,$O24)</f>
        <v>0</v>
      </c>
      <c r="R24" s="16" t="n">
        <f aca="false">$B$5*SUMIFS('Hourly Usage'!F$4:F$63,'Hourly Usage'!$A$4:$A$63,"Year 1",'Hourly Usage'!$B$4:$B$63,$N24,'Hourly Usage'!$C$4:$C$63,$O24)+$B$6*SUMIFS('Hourly Usage'!F$4:F$63,'Hourly Usage'!$A$4:$A$63,"Year 2",'Hourly Usage'!$B$4:$B$63,$N24,'Hourly Usage'!$C$4:$C$63,$O24)</f>
        <v>0.399999999999999</v>
      </c>
      <c r="S24" s="16" t="n">
        <f aca="false">SUMIFS('Hourly Usage'!F$4:F$63,'Hourly Usage'!$A$4:$A$63,"Year 2",'Hourly Usage'!$B$4:$B$63,$N24,'Hourly Usage'!$C$4:$C$63,$O24)</f>
        <v>0</v>
      </c>
      <c r="T24" s="16" t="n">
        <f aca="false">ABS(Q24-R24)</f>
        <v>0.399999999999999</v>
      </c>
      <c r="U24" s="16" t="n">
        <f aca="false">ABS(Q24-S24)</f>
        <v>0</v>
      </c>
      <c r="V24" s="15" t="n">
        <f aca="false">IF(R24&gt;=$B$7-0.000001,1,0)</f>
        <v>0</v>
      </c>
      <c r="W24" s="15" t="n">
        <f aca="false">IF(Q24&gt;=$B$7-0.000001,1,0)</f>
        <v>0</v>
      </c>
      <c r="X24" s="15" t="n">
        <f aca="false">IF(V24=W24,1,0)</f>
        <v>1</v>
      </c>
      <c r="Y24" s="15" t="n">
        <f aca="false">IF(IF(S24&gt;=$B$7-0.000001,1,0)=W24,1,0)</f>
        <v>1</v>
      </c>
    </row>
    <row r="25" customFormat="false" ht="15" hidden="false" customHeight="false" outlineLevel="0" collapsed="false">
      <c r="A25" s="25" t="str">
        <f aca="false">'Weekly History'!A3</f>
        <v>Fall</v>
      </c>
      <c r="B25" s="25" t="str">
        <f aca="false">'Weekly History'!B3</f>
        <v>Fall Wk 1</v>
      </c>
      <c r="C25" s="12" t="n">
        <f aca="false">'Weekly History'!E3</f>
        <v>10</v>
      </c>
      <c r="D25" s="10" t="n">
        <f aca="false">$B$5*'Weekly History'!C3+$B$6*'Weekly History'!D3</f>
        <v>11.4</v>
      </c>
      <c r="E25" s="12" t="n">
        <f aca="false">'Weekly History'!D3</f>
        <v>11</v>
      </c>
      <c r="F25" s="10" t="n">
        <f aca="false">ABS(C25-D25)</f>
        <v>1.4</v>
      </c>
      <c r="G25" s="10" t="n">
        <f aca="false">ABS(C25-E25)</f>
        <v>1</v>
      </c>
      <c r="H25" s="10" t="n">
        <f aca="false">'Weekly History'!H3</f>
        <v>16.2909090909091</v>
      </c>
      <c r="I25" s="10" t="n">
        <f aca="false">$B$5*'Weekly History'!F3+$B$6*'Weekly History'!G3</f>
        <v>21.07</v>
      </c>
      <c r="J25" s="10" t="n">
        <f aca="false">'Weekly History'!G3</f>
        <v>21.25</v>
      </c>
      <c r="K25" s="10" t="n">
        <f aca="false">ABS(H25-I25)</f>
        <v>4.77909090909091</v>
      </c>
      <c r="L25" s="10" t="n">
        <f aca="false">ABS(H25-J25)</f>
        <v>4.95909090909091</v>
      </c>
      <c r="N25" s="15" t="s">
        <v>42</v>
      </c>
      <c r="O25" s="15" t="s">
        <v>105</v>
      </c>
      <c r="P25" s="15" t="s">
        <v>78</v>
      </c>
      <c r="Q25" s="16" t="n">
        <f aca="false">SUMIFS('Hourly Usage'!G$4:G$63,'Hourly Usage'!$A$4:$A$63,"Year 3",'Hourly Usage'!$B$4:$B$63,$N25,'Hourly Usage'!$C$4:$C$63,$O25)</f>
        <v>0</v>
      </c>
      <c r="R25" s="16" t="n">
        <f aca="false">$B$5*SUMIFS('Hourly Usage'!G$4:G$63,'Hourly Usage'!$A$4:$A$63,"Year 1",'Hourly Usage'!$B$4:$B$63,$N25,'Hourly Usage'!$C$4:$C$63,$O25)+$B$6*SUMIFS('Hourly Usage'!G$4:G$63,'Hourly Usage'!$A$4:$A$63,"Year 2",'Hourly Usage'!$B$4:$B$63,$N25,'Hourly Usage'!$C$4:$C$63,$O25)</f>
        <v>0.200000000000001</v>
      </c>
      <c r="S25" s="16" t="n">
        <f aca="false">SUMIFS('Hourly Usage'!G$4:G$63,'Hourly Usage'!$A$4:$A$63,"Year 2",'Hourly Usage'!$B$4:$B$63,$N25,'Hourly Usage'!$C$4:$C$63,$O25)</f>
        <v>0</v>
      </c>
      <c r="T25" s="16" t="n">
        <f aca="false">ABS(Q25-R25)</f>
        <v>0.200000000000001</v>
      </c>
      <c r="U25" s="16" t="n">
        <f aca="false">ABS(Q25-S25)</f>
        <v>0</v>
      </c>
      <c r="V25" s="15" t="n">
        <f aca="false">IF(R25&gt;=$B$7-0.000001,1,0)</f>
        <v>0</v>
      </c>
      <c r="W25" s="15" t="n">
        <f aca="false">IF(Q25&gt;=$B$7-0.000001,1,0)</f>
        <v>0</v>
      </c>
      <c r="X25" s="15" t="n">
        <f aca="false">IF(V25=W25,1,0)</f>
        <v>1</v>
      </c>
      <c r="Y25" s="15" t="n">
        <f aca="false">IF(IF(S25&gt;=$B$7-0.000001,1,0)=W25,1,0)</f>
        <v>1</v>
      </c>
    </row>
    <row r="26" customFormat="false" ht="15" hidden="false" customHeight="false" outlineLevel="0" collapsed="false">
      <c r="A26" s="25" t="str">
        <f aca="false">'Weekly History'!A4</f>
        <v>Fall</v>
      </c>
      <c r="B26" s="25" t="str">
        <f aca="false">'Weekly History'!B4</f>
        <v>Fall Wk 2</v>
      </c>
      <c r="C26" s="12" t="n">
        <f aca="false">'Weekly History'!E4</f>
        <v>12</v>
      </c>
      <c r="D26" s="10" t="n">
        <f aca="false">$B$5*'Weekly History'!C4+$B$6*'Weekly History'!D4</f>
        <v>11.4</v>
      </c>
      <c r="E26" s="12" t="n">
        <f aca="false">'Weekly History'!D4</f>
        <v>11</v>
      </c>
      <c r="F26" s="10" t="n">
        <f aca="false">ABS(C26-D26)</f>
        <v>0.6</v>
      </c>
      <c r="G26" s="10" t="n">
        <f aca="false">ABS(C26-E26)</f>
        <v>1</v>
      </c>
      <c r="H26" s="10" t="n">
        <f aca="false">'Weekly History'!H4</f>
        <v>19.5490909090909</v>
      </c>
      <c r="I26" s="10" t="n">
        <f aca="false">$B$5*'Weekly History'!F4+$B$6*'Weekly History'!G4</f>
        <v>21.07</v>
      </c>
      <c r="J26" s="10" t="n">
        <f aca="false">'Weekly History'!G4</f>
        <v>21.25</v>
      </c>
      <c r="K26" s="10" t="n">
        <f aca="false">ABS(H26-I26)</f>
        <v>1.52090909090909</v>
      </c>
      <c r="L26" s="10" t="n">
        <f aca="false">ABS(H26-J26)</f>
        <v>1.70090909090909</v>
      </c>
      <c r="N26" s="15" t="s">
        <v>42</v>
      </c>
      <c r="O26" s="15" t="s">
        <v>105</v>
      </c>
      <c r="P26" s="15" t="s">
        <v>79</v>
      </c>
      <c r="Q26" s="16" t="n">
        <f aca="false">SUMIFS('Hourly Usage'!H$4:H$63,'Hourly Usage'!$A$4:$A$63,"Year 3",'Hourly Usage'!$B$4:$B$63,$N26,'Hourly Usage'!$C$4:$C$63,$O26)</f>
        <v>0.999999999999996</v>
      </c>
      <c r="R26" s="16" t="n">
        <f aca="false">$B$5*SUMIFS('Hourly Usage'!H$4:H$63,'Hourly Usage'!$A$4:$A$63,"Year 1",'Hourly Usage'!$B$4:$B$63,$N26,'Hourly Usage'!$C$4:$C$63,$O26)+$B$6*SUMIFS('Hourly Usage'!H$4:H$63,'Hourly Usage'!$A$4:$A$63,"Year 2",'Hourly Usage'!$B$4:$B$63,$N26,'Hourly Usage'!$C$4:$C$63,$O26)</f>
        <v>0.999999999999998</v>
      </c>
      <c r="S26" s="16" t="n">
        <f aca="false">SUMIFS('Hourly Usage'!H$4:H$63,'Hourly Usage'!$A$4:$A$63,"Year 2",'Hourly Usage'!$B$4:$B$63,$N26,'Hourly Usage'!$C$4:$C$63,$O26)</f>
        <v>0.999999999999999</v>
      </c>
      <c r="T26" s="16" t="n">
        <f aca="false">ABS(Q26-R26)</f>
        <v>0</v>
      </c>
      <c r="U26" s="16" t="n">
        <f aca="false">ABS(Q26-S26)</f>
        <v>0</v>
      </c>
      <c r="V26" s="15" t="n">
        <f aca="false">IF(R26&gt;=$B$7-0.000001,1,0)</f>
        <v>1</v>
      </c>
      <c r="W26" s="15" t="n">
        <f aca="false">IF(Q26&gt;=$B$7-0.000001,1,0)</f>
        <v>1</v>
      </c>
      <c r="X26" s="15" t="n">
        <f aca="false">IF(V26=W26,1,0)</f>
        <v>1</v>
      </c>
      <c r="Y26" s="15" t="n">
        <f aca="false">IF(IF(S26&gt;=$B$7-0.000001,1,0)=W26,1,0)</f>
        <v>1</v>
      </c>
    </row>
    <row r="27" customFormat="false" ht="15" hidden="false" customHeight="false" outlineLevel="0" collapsed="false">
      <c r="A27" s="25" t="str">
        <f aca="false">'Weekly History'!A5</f>
        <v>Fall</v>
      </c>
      <c r="B27" s="25" t="str">
        <f aca="false">'Weekly History'!B5</f>
        <v>Fall Wk 3</v>
      </c>
      <c r="C27" s="12" t="n">
        <f aca="false">'Weekly History'!E5</f>
        <v>15</v>
      </c>
      <c r="D27" s="10" t="n">
        <f aca="false">$B$5*'Weekly History'!C5+$B$6*'Weekly History'!D5</f>
        <v>14.8</v>
      </c>
      <c r="E27" s="12" t="n">
        <f aca="false">'Weekly History'!D5</f>
        <v>14</v>
      </c>
      <c r="F27" s="10" t="n">
        <f aca="false">ABS(C27-D27)</f>
        <v>0.199999999999999</v>
      </c>
      <c r="G27" s="10" t="n">
        <f aca="false">ABS(C27-E27)</f>
        <v>1</v>
      </c>
      <c r="H27" s="10" t="n">
        <f aca="false">'Weekly History'!H5</f>
        <v>24.4363636363636</v>
      </c>
      <c r="I27" s="10" t="n">
        <f aca="false">$B$5*'Weekly History'!F5+$B$6*'Weekly History'!G5</f>
        <v>27.3206060606061</v>
      </c>
      <c r="J27" s="10" t="n">
        <f aca="false">'Weekly History'!G5</f>
        <v>27.0454545454545</v>
      </c>
      <c r="K27" s="10" t="n">
        <f aca="false">ABS(H27-I27)</f>
        <v>2.88424242424242</v>
      </c>
      <c r="L27" s="10" t="n">
        <f aca="false">ABS(H27-J27)</f>
        <v>2.60909090909091</v>
      </c>
      <c r="N27" s="15" t="s">
        <v>42</v>
      </c>
      <c r="O27" s="15" t="s">
        <v>105</v>
      </c>
      <c r="P27" s="15" t="s">
        <v>81</v>
      </c>
      <c r="Q27" s="16" t="n">
        <f aca="false">SUMIFS('Hourly Usage'!I$4:I$63,'Hourly Usage'!$A$4:$A$63,"Year 3",'Hourly Usage'!$B$4:$B$63,$N27,'Hourly Usage'!$C$4:$C$63,$O27)</f>
        <v>0.500000000000004</v>
      </c>
      <c r="R27" s="16" t="n">
        <f aca="false">$B$5*SUMIFS('Hourly Usage'!I$4:I$63,'Hourly Usage'!$A$4:$A$63,"Year 1",'Hourly Usage'!$B$4:$B$63,$N27,'Hourly Usage'!$C$4:$C$63,$O27)+$B$6*SUMIFS('Hourly Usage'!I$4:I$63,'Hourly Usage'!$A$4:$A$63,"Year 2",'Hourly Usage'!$B$4:$B$63,$N27,'Hourly Usage'!$C$4:$C$63,$O27)</f>
        <v>0.350000000000004</v>
      </c>
      <c r="S27" s="16" t="n">
        <f aca="false">SUMIFS('Hourly Usage'!I$4:I$63,'Hourly Usage'!$A$4:$A$63,"Year 2",'Hourly Usage'!$B$4:$B$63,$N27,'Hourly Usage'!$C$4:$C$63,$O27)</f>
        <v>0.250000000000004</v>
      </c>
      <c r="T27" s="16" t="n">
        <f aca="false">ABS(Q27-R27)</f>
        <v>0.149999999999999</v>
      </c>
      <c r="U27" s="16" t="n">
        <f aca="false">ABS(Q27-S27)</f>
        <v>0.249999999999999</v>
      </c>
      <c r="V27" s="15" t="n">
        <f aca="false">IF(R27&gt;=$B$7-0.000001,1,0)</f>
        <v>0</v>
      </c>
      <c r="W27" s="15" t="n">
        <f aca="false">IF(Q27&gt;=$B$7-0.000001,1,0)</f>
        <v>1</v>
      </c>
      <c r="X27" s="15" t="n">
        <f aca="false">IF(V27=W27,1,0)</f>
        <v>0</v>
      </c>
      <c r="Y27" s="15" t="n">
        <f aca="false">IF(IF(S27&gt;=$B$7-0.000001,1,0)=W27,1,0)</f>
        <v>0</v>
      </c>
    </row>
    <row r="28" customFormat="false" ht="15" hidden="false" customHeight="false" outlineLevel="0" collapsed="false">
      <c r="A28" s="25" t="str">
        <f aca="false">'Weekly History'!A6</f>
        <v>Fall</v>
      </c>
      <c r="B28" s="25" t="str">
        <f aca="false">'Weekly History'!B6</f>
        <v>Fall Wk 4</v>
      </c>
      <c r="C28" s="12" t="n">
        <f aca="false">'Weekly History'!E6</f>
        <v>12</v>
      </c>
      <c r="D28" s="10" t="n">
        <f aca="false">$B$5*'Weekly History'!C6+$B$6*'Weekly History'!D6</f>
        <v>12.4</v>
      </c>
      <c r="E28" s="12" t="n">
        <f aca="false">'Weekly History'!D6</f>
        <v>12</v>
      </c>
      <c r="F28" s="10" t="n">
        <f aca="false">ABS(C28-D28)</f>
        <v>0.399999999999999</v>
      </c>
      <c r="G28" s="10" t="n">
        <f aca="false">ABS(C28-E28)</f>
        <v>0</v>
      </c>
      <c r="H28" s="10" t="n">
        <f aca="false">'Weekly History'!H6</f>
        <v>19.5490909090909</v>
      </c>
      <c r="I28" s="10" t="n">
        <f aca="false">$B$5*'Weekly History'!F6+$B$6*'Weekly History'!G6</f>
        <v>22.9224242424242</v>
      </c>
      <c r="J28" s="10" t="n">
        <f aca="false">'Weekly History'!G6</f>
        <v>23.1818181818182</v>
      </c>
      <c r="K28" s="10" t="n">
        <f aca="false">ABS(H28-I28)</f>
        <v>3.37333333333333</v>
      </c>
      <c r="L28" s="10" t="n">
        <f aca="false">ABS(H28-J28)</f>
        <v>3.63272727272727</v>
      </c>
      <c r="N28" s="15" t="s">
        <v>42</v>
      </c>
      <c r="O28" s="15" t="s">
        <v>105</v>
      </c>
      <c r="P28" s="15" t="s">
        <v>85</v>
      </c>
      <c r="Q28" s="16" t="n">
        <f aca="false">SUMIFS('Hourly Usage'!J$4:J$63,'Hourly Usage'!$A$4:$A$63,"Year 3",'Hourly Usage'!$B$4:$B$63,$N28,'Hourly Usage'!$C$4:$C$63,$O28)</f>
        <v>0</v>
      </c>
      <c r="R28" s="16" t="n">
        <f aca="false">$B$5*SUMIFS('Hourly Usage'!J$4:J$63,'Hourly Usage'!$A$4:$A$63,"Year 1",'Hourly Usage'!$B$4:$B$63,$N28,'Hourly Usage'!$C$4:$C$63,$O28)+$B$6*SUMIFS('Hourly Usage'!J$4:J$63,'Hourly Usage'!$A$4:$A$63,"Year 2",'Hourly Usage'!$B$4:$B$63,$N28,'Hourly Usage'!$C$4:$C$63,$O28)</f>
        <v>0.4</v>
      </c>
      <c r="S28" s="16" t="n">
        <f aca="false">SUMIFS('Hourly Usage'!J$4:J$63,'Hourly Usage'!$A$4:$A$63,"Year 2",'Hourly Usage'!$B$4:$B$63,$N28,'Hourly Usage'!$C$4:$C$63,$O28)</f>
        <v>0</v>
      </c>
      <c r="T28" s="16" t="n">
        <f aca="false">ABS(Q28-R28)</f>
        <v>0.4</v>
      </c>
      <c r="U28" s="16" t="n">
        <f aca="false">ABS(Q28-S28)</f>
        <v>0</v>
      </c>
      <c r="V28" s="15" t="n">
        <f aca="false">IF(R28&gt;=$B$7-0.000001,1,0)</f>
        <v>0</v>
      </c>
      <c r="W28" s="15" t="n">
        <f aca="false">IF(Q28&gt;=$B$7-0.000001,1,0)</f>
        <v>0</v>
      </c>
      <c r="X28" s="15" t="n">
        <f aca="false">IF(V28=W28,1,0)</f>
        <v>1</v>
      </c>
      <c r="Y28" s="15" t="n">
        <f aca="false">IF(IF(S28&gt;=$B$7-0.000001,1,0)=W28,1,0)</f>
        <v>1</v>
      </c>
    </row>
    <row r="29" customFormat="false" ht="15" hidden="false" customHeight="false" outlineLevel="0" collapsed="false">
      <c r="A29" s="25" t="str">
        <f aca="false">'Weekly History'!A7</f>
        <v>Fall</v>
      </c>
      <c r="B29" s="25" t="str">
        <f aca="false">'Weekly History'!B7</f>
        <v>Fall Wk 5</v>
      </c>
      <c r="C29" s="12" t="n">
        <f aca="false">'Weekly History'!E7</f>
        <v>11</v>
      </c>
      <c r="D29" s="10" t="n">
        <f aca="false">$B$5*'Weekly History'!C7+$B$6*'Weekly History'!D7</f>
        <v>12.6</v>
      </c>
      <c r="E29" s="12" t="n">
        <f aca="false">'Weekly History'!D7</f>
        <v>11</v>
      </c>
      <c r="F29" s="10" t="n">
        <f aca="false">ABS(C29-D29)</f>
        <v>1.6</v>
      </c>
      <c r="G29" s="10" t="n">
        <f aca="false">ABS(C29-E29)</f>
        <v>0</v>
      </c>
      <c r="H29" s="10" t="n">
        <f aca="false">'Weekly History'!H7</f>
        <v>17.92</v>
      </c>
      <c r="I29" s="10" t="n">
        <f aca="false">$B$5*'Weekly History'!F7+$B$6*'Weekly History'!G7</f>
        <v>23.15</v>
      </c>
      <c r="J29" s="10" t="n">
        <f aca="false">'Weekly History'!G7</f>
        <v>21.25</v>
      </c>
      <c r="K29" s="10" t="n">
        <f aca="false">ABS(H29-I29)</f>
        <v>5.23</v>
      </c>
      <c r="L29" s="10" t="n">
        <f aca="false">ABS(H29-J29)</f>
        <v>3.33</v>
      </c>
      <c r="N29" s="15" t="s">
        <v>42</v>
      </c>
      <c r="O29" s="15" t="s">
        <v>105</v>
      </c>
      <c r="P29" s="15" t="s">
        <v>88</v>
      </c>
      <c r="Q29" s="16" t="n">
        <f aca="false">SUMIFS('Hourly Usage'!K$4:K$63,'Hourly Usage'!$A$4:$A$63,"Year 3",'Hourly Usage'!$B$4:$B$63,$N29,'Hourly Usage'!$C$4:$C$63,$O29)</f>
        <v>0.499999999999996</v>
      </c>
      <c r="R29" s="16" t="n">
        <f aca="false">$B$5*SUMIFS('Hourly Usage'!K$4:K$63,'Hourly Usage'!$A$4:$A$63,"Year 1",'Hourly Usage'!$B$4:$B$63,$N29,'Hourly Usage'!$C$4:$C$63,$O29)+$B$6*SUMIFS('Hourly Usage'!K$4:K$63,'Hourly Usage'!$A$4:$A$63,"Year 2",'Hourly Usage'!$B$4:$B$63,$N29,'Hourly Usage'!$C$4:$C$63,$O29)</f>
        <v>0.399999999999998</v>
      </c>
      <c r="S29" s="16" t="n">
        <f aca="false">SUMIFS('Hourly Usage'!K$4:K$63,'Hourly Usage'!$A$4:$A$63,"Year 2",'Hourly Usage'!$B$4:$B$63,$N29,'Hourly Usage'!$C$4:$C$63,$O29)</f>
        <v>0</v>
      </c>
      <c r="T29" s="16" t="n">
        <f aca="false">ABS(Q29-R29)</f>
        <v>0.099999999999998</v>
      </c>
      <c r="U29" s="16" t="n">
        <f aca="false">ABS(Q29-S29)</f>
        <v>0.499999999999996</v>
      </c>
      <c r="V29" s="15" t="n">
        <f aca="false">IF(R29&gt;=$B$7-0.000001,1,0)</f>
        <v>0</v>
      </c>
      <c r="W29" s="15" t="n">
        <f aca="false">IF(Q29&gt;=$B$7-0.000001,1,0)</f>
        <v>1</v>
      </c>
      <c r="X29" s="15" t="n">
        <f aca="false">IF(V29=W29,1,0)</f>
        <v>0</v>
      </c>
      <c r="Y29" s="15" t="n">
        <f aca="false">IF(IF(S29&gt;=$B$7-0.000001,1,0)=W29,1,0)</f>
        <v>0</v>
      </c>
    </row>
    <row r="30" customFormat="false" ht="15" hidden="false" customHeight="false" outlineLevel="0" collapsed="false">
      <c r="A30" s="25" t="str">
        <f aca="false">'Weekly History'!A8</f>
        <v>Fall</v>
      </c>
      <c r="B30" s="25" t="str">
        <f aca="false">'Weekly History'!B8</f>
        <v>Fall Wk 6</v>
      </c>
      <c r="C30" s="12" t="n">
        <f aca="false">'Weekly History'!E8</f>
        <v>13</v>
      </c>
      <c r="D30" s="10" t="n">
        <f aca="false">$B$5*'Weekly History'!C8+$B$6*'Weekly History'!D8</f>
        <v>12.8</v>
      </c>
      <c r="E30" s="12" t="n">
        <f aca="false">'Weekly History'!D8</f>
        <v>12</v>
      </c>
      <c r="F30" s="10" t="n">
        <f aca="false">ABS(C30-D30)</f>
        <v>0.199999999999999</v>
      </c>
      <c r="G30" s="10" t="n">
        <f aca="false">ABS(C30-E30)</f>
        <v>1</v>
      </c>
      <c r="H30" s="10" t="n">
        <f aca="false">'Weekly History'!H8</f>
        <v>21.1781818181818</v>
      </c>
      <c r="I30" s="10" t="n">
        <f aca="false">$B$5*'Weekly History'!F8+$B$6*'Weekly History'!G8</f>
        <v>23.6157575757576</v>
      </c>
      <c r="J30" s="10" t="n">
        <f aca="false">'Weekly History'!G8</f>
        <v>23.1818181818182</v>
      </c>
      <c r="K30" s="10" t="n">
        <f aca="false">ABS(H30-I30)</f>
        <v>2.43757575757576</v>
      </c>
      <c r="L30" s="10" t="n">
        <f aca="false">ABS(H30-J30)</f>
        <v>2.00363636363636</v>
      </c>
      <c r="N30" s="15" t="s">
        <v>42</v>
      </c>
      <c r="O30" s="15" t="s">
        <v>105</v>
      </c>
      <c r="P30" s="15" t="s">
        <v>91</v>
      </c>
      <c r="Q30" s="16" t="n">
        <f aca="false">SUMIFS('Hourly Usage'!L$4:L$63,'Hourly Usage'!$A$4:$A$63,"Year 3",'Hourly Usage'!$B$4:$B$63,$N30,'Hourly Usage'!$C$4:$C$63,$O30)</f>
        <v>1</v>
      </c>
      <c r="R30" s="16" t="n">
        <f aca="false">$B$5*SUMIFS('Hourly Usage'!L$4:L$63,'Hourly Usage'!$A$4:$A$63,"Year 1",'Hourly Usage'!$B$4:$B$63,$N30,'Hourly Usage'!$C$4:$C$63,$O30)+$B$6*SUMIFS('Hourly Usage'!L$4:L$63,'Hourly Usage'!$A$4:$A$63,"Year 2",'Hourly Usage'!$B$4:$B$63,$N30,'Hourly Usage'!$C$4:$C$63,$O30)</f>
        <v>0.4</v>
      </c>
      <c r="S30" s="16" t="n">
        <f aca="false">SUMIFS('Hourly Usage'!L$4:L$63,'Hourly Usage'!$A$4:$A$63,"Year 2",'Hourly Usage'!$B$4:$B$63,$N30,'Hourly Usage'!$C$4:$C$63,$O30)</f>
        <v>0</v>
      </c>
      <c r="T30" s="16" t="n">
        <f aca="false">ABS(Q30-R30)</f>
        <v>0.6</v>
      </c>
      <c r="U30" s="16" t="n">
        <f aca="false">ABS(Q30-S30)</f>
        <v>1</v>
      </c>
      <c r="V30" s="15" t="n">
        <f aca="false">IF(R30&gt;=$B$7-0.000001,1,0)</f>
        <v>0</v>
      </c>
      <c r="W30" s="15" t="n">
        <f aca="false">IF(Q30&gt;=$B$7-0.000001,1,0)</f>
        <v>1</v>
      </c>
      <c r="X30" s="15" t="n">
        <f aca="false">IF(V30=W30,1,0)</f>
        <v>0</v>
      </c>
      <c r="Y30" s="15" t="n">
        <f aca="false">IF(IF(S30&gt;=$B$7-0.000001,1,0)=W30,1,0)</f>
        <v>0</v>
      </c>
    </row>
    <row r="31" customFormat="false" ht="15" hidden="false" customHeight="false" outlineLevel="0" collapsed="false">
      <c r="A31" s="25" t="str">
        <f aca="false">'Weekly History'!A9</f>
        <v>Fall</v>
      </c>
      <c r="B31" s="25" t="str">
        <f aca="false">'Weekly History'!B9</f>
        <v>Fall Wk 7</v>
      </c>
      <c r="C31" s="12" t="n">
        <f aca="false">'Weekly History'!E9</f>
        <v>15</v>
      </c>
      <c r="D31" s="10" t="n">
        <f aca="false">$B$5*'Weekly History'!C9+$B$6*'Weekly History'!D9</f>
        <v>14</v>
      </c>
      <c r="E31" s="12" t="n">
        <f aca="false">'Weekly History'!D9</f>
        <v>14</v>
      </c>
      <c r="F31" s="10" t="n">
        <f aca="false">ABS(C31-D31)</f>
        <v>1</v>
      </c>
      <c r="G31" s="10" t="n">
        <f aca="false">ABS(C31-E31)</f>
        <v>1</v>
      </c>
      <c r="H31" s="10" t="n">
        <f aca="false">'Weekly History'!H9</f>
        <v>24.4363636363636</v>
      </c>
      <c r="I31" s="10" t="n">
        <f aca="false">$B$5*'Weekly History'!F9+$B$6*'Weekly History'!G9</f>
        <v>25.9339393939394</v>
      </c>
      <c r="J31" s="10" t="n">
        <f aca="false">'Weekly History'!G9</f>
        <v>27.0454545454545</v>
      </c>
      <c r="K31" s="10" t="n">
        <f aca="false">ABS(H31-I31)</f>
        <v>1.49757575757576</v>
      </c>
      <c r="L31" s="10" t="n">
        <f aca="false">ABS(H31-J31)</f>
        <v>2.60909090909091</v>
      </c>
      <c r="N31" s="15" t="s">
        <v>42</v>
      </c>
      <c r="O31" s="15" t="s">
        <v>117</v>
      </c>
      <c r="P31" s="15" t="s">
        <v>71</v>
      </c>
      <c r="Q31" s="16" t="n">
        <f aca="false">SUMIFS('Hourly Usage'!D$4:D$63,'Hourly Usage'!$A$4:$A$63,"Year 3",'Hourly Usage'!$B$4:$B$63,$N31,'Hourly Usage'!$C$4:$C$63,$O31)</f>
        <v>0</v>
      </c>
      <c r="R31" s="16" t="n">
        <f aca="false">$B$5*SUMIFS('Hourly Usage'!D$4:D$63,'Hourly Usage'!$A$4:$A$63,"Year 1",'Hourly Usage'!$B$4:$B$63,$N31,'Hourly Usage'!$C$4:$C$63,$O31)+$B$6*SUMIFS('Hourly Usage'!D$4:D$63,'Hourly Usage'!$A$4:$A$63,"Year 2",'Hourly Usage'!$B$4:$B$63,$N31,'Hourly Usage'!$C$4:$C$63,$O31)</f>
        <v>0</v>
      </c>
      <c r="S31" s="16" t="n">
        <f aca="false">SUMIFS('Hourly Usage'!D$4:D$63,'Hourly Usage'!$A$4:$A$63,"Year 2",'Hourly Usage'!$B$4:$B$63,$N31,'Hourly Usage'!$C$4:$C$63,$O31)</f>
        <v>0</v>
      </c>
      <c r="T31" s="16" t="n">
        <f aca="false">ABS(Q31-R31)</f>
        <v>0</v>
      </c>
      <c r="U31" s="16" t="n">
        <f aca="false">ABS(Q31-S31)</f>
        <v>0</v>
      </c>
      <c r="V31" s="15" t="n">
        <f aca="false">IF(R31&gt;=$B$7-0.000001,1,0)</f>
        <v>0</v>
      </c>
      <c r="W31" s="15" t="n">
        <f aca="false">IF(Q31&gt;=$B$7-0.000001,1,0)</f>
        <v>0</v>
      </c>
      <c r="X31" s="15" t="n">
        <f aca="false">IF(V31=W31,1,0)</f>
        <v>1</v>
      </c>
      <c r="Y31" s="15" t="n">
        <f aca="false">IF(IF(S31&gt;=$B$7-0.000001,1,0)=W31,1,0)</f>
        <v>1</v>
      </c>
    </row>
    <row r="32" customFormat="false" ht="15" hidden="false" customHeight="false" outlineLevel="0" collapsed="false">
      <c r="A32" s="25" t="str">
        <f aca="false">'Weekly History'!A10</f>
        <v>Fall</v>
      </c>
      <c r="B32" s="25" t="str">
        <f aca="false">'Weekly History'!B10</f>
        <v>Fall Wk 8</v>
      </c>
      <c r="C32" s="12" t="n">
        <f aca="false">'Weekly History'!E10</f>
        <v>14</v>
      </c>
      <c r="D32" s="10" t="n">
        <f aca="false">$B$5*'Weekly History'!C10+$B$6*'Weekly History'!D10</f>
        <v>12.8</v>
      </c>
      <c r="E32" s="12" t="n">
        <f aca="false">'Weekly History'!D10</f>
        <v>12</v>
      </c>
      <c r="F32" s="10" t="n">
        <f aca="false">ABS(C32-D32)</f>
        <v>1.2</v>
      </c>
      <c r="G32" s="10" t="n">
        <f aca="false">ABS(C32-E32)</f>
        <v>2</v>
      </c>
      <c r="H32" s="10" t="n">
        <f aca="false">'Weekly History'!H10</f>
        <v>22.8072727272727</v>
      </c>
      <c r="I32" s="10" t="n">
        <f aca="false">$B$5*'Weekly History'!F10+$B$6*'Weekly History'!G10</f>
        <v>23.6157575757576</v>
      </c>
      <c r="J32" s="10" t="n">
        <f aca="false">'Weekly History'!G10</f>
        <v>23.1818181818182</v>
      </c>
      <c r="K32" s="10" t="n">
        <f aca="false">ABS(H32-I32)</f>
        <v>0.808484848484849</v>
      </c>
      <c r="L32" s="10" t="n">
        <f aca="false">ABS(H32-J32)</f>
        <v>0.374545454545455</v>
      </c>
      <c r="N32" s="15" t="s">
        <v>42</v>
      </c>
      <c r="O32" s="15" t="s">
        <v>117</v>
      </c>
      <c r="P32" s="15" t="s">
        <v>74</v>
      </c>
      <c r="Q32" s="16" t="n">
        <f aca="false">SUMIFS('Hourly Usage'!E$4:E$63,'Hourly Usage'!$A$4:$A$63,"Year 3",'Hourly Usage'!$B$4:$B$63,$N32,'Hourly Usage'!$C$4:$C$63,$O32)</f>
        <v>0</v>
      </c>
      <c r="R32" s="16" t="n">
        <f aca="false">$B$5*SUMIFS('Hourly Usage'!E$4:E$63,'Hourly Usage'!$A$4:$A$63,"Year 1",'Hourly Usage'!$B$4:$B$63,$N32,'Hourly Usage'!$C$4:$C$63,$O32)+$B$6*SUMIFS('Hourly Usage'!E$4:E$63,'Hourly Usage'!$A$4:$A$63,"Year 2",'Hourly Usage'!$B$4:$B$63,$N32,'Hourly Usage'!$C$4:$C$63,$O32)</f>
        <v>0.599999999999999</v>
      </c>
      <c r="S32" s="16" t="n">
        <f aca="false">SUMIFS('Hourly Usage'!E$4:E$63,'Hourly Usage'!$A$4:$A$63,"Year 2",'Hourly Usage'!$B$4:$B$63,$N32,'Hourly Usage'!$C$4:$C$63,$O32)</f>
        <v>0.999999999999999</v>
      </c>
      <c r="T32" s="16" t="n">
        <f aca="false">ABS(Q32-R32)</f>
        <v>0.599999999999999</v>
      </c>
      <c r="U32" s="16" t="n">
        <f aca="false">ABS(Q32-S32)</f>
        <v>0.999999999999999</v>
      </c>
      <c r="V32" s="15" t="n">
        <f aca="false">IF(R32&gt;=$B$7-0.000001,1,0)</f>
        <v>1</v>
      </c>
      <c r="W32" s="15" t="n">
        <f aca="false">IF(Q32&gt;=$B$7-0.000001,1,0)</f>
        <v>0</v>
      </c>
      <c r="X32" s="15" t="n">
        <f aca="false">IF(V32=W32,1,0)</f>
        <v>0</v>
      </c>
      <c r="Y32" s="15" t="n">
        <f aca="false">IF(IF(S32&gt;=$B$7-0.000001,1,0)=W32,1,0)</f>
        <v>0</v>
      </c>
    </row>
    <row r="33" customFormat="false" ht="15" hidden="false" customHeight="false" outlineLevel="0" collapsed="false">
      <c r="A33" s="25" t="str">
        <f aca="false">'Weekly History'!A11</f>
        <v>Fall</v>
      </c>
      <c r="B33" s="25" t="str">
        <f aca="false">'Weekly History'!B11</f>
        <v>Fall Wk 9</v>
      </c>
      <c r="C33" s="12" t="n">
        <f aca="false">'Weekly History'!E11</f>
        <v>15</v>
      </c>
      <c r="D33" s="10" t="n">
        <f aca="false">$B$5*'Weekly History'!C11+$B$6*'Weekly History'!D11</f>
        <v>11.6</v>
      </c>
      <c r="E33" s="12" t="n">
        <f aca="false">'Weekly History'!D11</f>
        <v>10</v>
      </c>
      <c r="F33" s="10" t="n">
        <f aca="false">ABS(C33-D33)</f>
        <v>3.4</v>
      </c>
      <c r="G33" s="10" t="n">
        <f aca="false">ABS(C33-E33)</f>
        <v>5</v>
      </c>
      <c r="H33" s="10" t="n">
        <f aca="false">'Weekly History'!H11</f>
        <v>24.4363636363636</v>
      </c>
      <c r="I33" s="10" t="n">
        <f aca="false">$B$5*'Weekly History'!F11+$B$6*'Weekly History'!G11</f>
        <v>21.2975757575758</v>
      </c>
      <c r="J33" s="10" t="n">
        <f aca="false">'Weekly History'!G11</f>
        <v>19.3181818181818</v>
      </c>
      <c r="K33" s="10" t="n">
        <f aca="false">ABS(H33-I33)</f>
        <v>3.13878787878788</v>
      </c>
      <c r="L33" s="10" t="n">
        <f aca="false">ABS(H33-J33)</f>
        <v>5.11818181818182</v>
      </c>
      <c r="N33" s="15" t="s">
        <v>42</v>
      </c>
      <c r="O33" s="15" t="s">
        <v>117</v>
      </c>
      <c r="P33" s="15" t="s">
        <v>76</v>
      </c>
      <c r="Q33" s="16" t="n">
        <f aca="false">SUMIFS('Hourly Usage'!F$4:F$63,'Hourly Usage'!$A$4:$A$63,"Year 3",'Hourly Usage'!$B$4:$B$63,$N33,'Hourly Usage'!$C$4:$C$63,$O33)</f>
        <v>0</v>
      </c>
      <c r="R33" s="16" t="n">
        <f aca="false">$B$5*SUMIFS('Hourly Usage'!F$4:F$63,'Hourly Usage'!$A$4:$A$63,"Year 1",'Hourly Usage'!$B$4:$B$63,$N33,'Hourly Usage'!$C$4:$C$63,$O33)+$B$6*SUMIFS('Hourly Usage'!F$4:F$63,'Hourly Usage'!$A$4:$A$63,"Year 2",'Hourly Usage'!$B$4:$B$63,$N33,'Hourly Usage'!$C$4:$C$63,$O33)</f>
        <v>0.599999999999999</v>
      </c>
      <c r="S33" s="16" t="n">
        <f aca="false">SUMIFS('Hourly Usage'!F$4:F$63,'Hourly Usage'!$A$4:$A$63,"Year 2",'Hourly Usage'!$B$4:$B$63,$N33,'Hourly Usage'!$C$4:$C$63,$O33)</f>
        <v>0.999999999999999</v>
      </c>
      <c r="T33" s="16" t="n">
        <f aca="false">ABS(Q33-R33)</f>
        <v>0.599999999999999</v>
      </c>
      <c r="U33" s="16" t="n">
        <f aca="false">ABS(Q33-S33)</f>
        <v>0.999999999999999</v>
      </c>
      <c r="V33" s="15" t="n">
        <f aca="false">IF(R33&gt;=$B$7-0.000001,1,0)</f>
        <v>1</v>
      </c>
      <c r="W33" s="15" t="n">
        <f aca="false">IF(Q33&gt;=$B$7-0.000001,1,0)</f>
        <v>0</v>
      </c>
      <c r="X33" s="15" t="n">
        <f aca="false">IF(V33=W33,1,0)</f>
        <v>0</v>
      </c>
      <c r="Y33" s="15" t="n">
        <f aca="false">IF(IF(S33&gt;=$B$7-0.000001,1,0)=W33,1,0)</f>
        <v>0</v>
      </c>
    </row>
    <row r="34" customFormat="false" ht="15" hidden="false" customHeight="false" outlineLevel="0" collapsed="false">
      <c r="A34" s="25" t="str">
        <f aca="false">'Weekly History'!A12</f>
        <v>Fall</v>
      </c>
      <c r="B34" s="25" t="str">
        <f aca="false">'Weekly History'!B12</f>
        <v>Fall Thanksgiving</v>
      </c>
      <c r="C34" s="12" t="n">
        <f aca="false">'Weekly History'!E12</f>
        <v>13</v>
      </c>
      <c r="D34" s="10" t="n">
        <f aca="false">$B$5*'Weekly History'!C12+$B$6*'Weekly History'!D12</f>
        <v>11.6</v>
      </c>
      <c r="E34" s="12" t="n">
        <f aca="false">'Weekly History'!D12</f>
        <v>10</v>
      </c>
      <c r="F34" s="10" t="n">
        <f aca="false">ABS(C34-D34)</f>
        <v>1.4</v>
      </c>
      <c r="G34" s="10" t="n">
        <f aca="false">ABS(C34-E34)</f>
        <v>3</v>
      </c>
      <c r="H34" s="10" t="n">
        <f aca="false">'Weekly History'!H12</f>
        <v>21.1781818181818</v>
      </c>
      <c r="I34" s="10" t="n">
        <f aca="false">$B$5*'Weekly History'!F12+$B$6*'Weekly History'!G12</f>
        <v>21.2975757575758</v>
      </c>
      <c r="J34" s="10" t="n">
        <f aca="false">'Weekly History'!G12</f>
        <v>19.3181818181818</v>
      </c>
      <c r="K34" s="10" t="n">
        <f aca="false">ABS(H34-I34)</f>
        <v>0.119393939393937</v>
      </c>
      <c r="L34" s="10" t="n">
        <f aca="false">ABS(H34-J34)</f>
        <v>1.86</v>
      </c>
      <c r="N34" s="15" t="s">
        <v>42</v>
      </c>
      <c r="O34" s="15" t="s">
        <v>117</v>
      </c>
      <c r="P34" s="15" t="s">
        <v>78</v>
      </c>
      <c r="Q34" s="16" t="n">
        <f aca="false">SUMIFS('Hourly Usage'!G$4:G$63,'Hourly Usage'!$A$4:$A$63,"Year 3",'Hourly Usage'!$B$4:$B$63,$N34,'Hourly Usage'!$C$4:$C$63,$O34)</f>
        <v>0</v>
      </c>
      <c r="R34" s="16" t="n">
        <f aca="false">$B$5*SUMIFS('Hourly Usage'!G$4:G$63,'Hourly Usage'!$A$4:$A$63,"Year 1",'Hourly Usage'!$B$4:$B$63,$N34,'Hourly Usage'!$C$4:$C$63,$O34)+$B$6*SUMIFS('Hourly Usage'!G$4:G$63,'Hourly Usage'!$A$4:$A$63,"Year 2",'Hourly Usage'!$B$4:$B$63,$N34,'Hourly Usage'!$C$4:$C$63,$O34)</f>
        <v>0.6</v>
      </c>
      <c r="S34" s="16" t="n">
        <f aca="false">SUMIFS('Hourly Usage'!G$4:G$63,'Hourly Usage'!$A$4:$A$63,"Year 2",'Hourly Usage'!$B$4:$B$63,$N34,'Hourly Usage'!$C$4:$C$63,$O34)</f>
        <v>1</v>
      </c>
      <c r="T34" s="16" t="n">
        <f aca="false">ABS(Q34-R34)</f>
        <v>0.6</v>
      </c>
      <c r="U34" s="16" t="n">
        <f aca="false">ABS(Q34-S34)</f>
        <v>1</v>
      </c>
      <c r="V34" s="15" t="n">
        <f aca="false">IF(R34&gt;=$B$7-0.000001,1,0)</f>
        <v>1</v>
      </c>
      <c r="W34" s="15" t="n">
        <f aca="false">IF(Q34&gt;=$B$7-0.000001,1,0)</f>
        <v>0</v>
      </c>
      <c r="X34" s="15" t="n">
        <f aca="false">IF(V34=W34,1,0)</f>
        <v>0</v>
      </c>
      <c r="Y34" s="15" t="n">
        <f aca="false">IF(IF(S34&gt;=$B$7-0.000001,1,0)=W34,1,0)</f>
        <v>0</v>
      </c>
    </row>
    <row r="35" customFormat="false" ht="15" hidden="false" customHeight="false" outlineLevel="0" collapsed="false">
      <c r="A35" s="25" t="str">
        <f aca="false">'Weekly History'!A13</f>
        <v>Fall</v>
      </c>
      <c r="B35" s="25" t="str">
        <f aca="false">'Weekly History'!B13</f>
        <v>Fall Wk 10</v>
      </c>
      <c r="C35" s="12" t="n">
        <f aca="false">'Weekly History'!E13</f>
        <v>14</v>
      </c>
      <c r="D35" s="10" t="n">
        <f aca="false">$B$5*'Weekly History'!C13+$B$6*'Weekly History'!D13</f>
        <v>15.2</v>
      </c>
      <c r="E35" s="12" t="n">
        <f aca="false">'Weekly History'!D13</f>
        <v>16</v>
      </c>
      <c r="F35" s="10" t="n">
        <f aca="false">ABS(C35-D35)</f>
        <v>1.2</v>
      </c>
      <c r="G35" s="10" t="n">
        <f aca="false">ABS(C35-E35)</f>
        <v>2</v>
      </c>
      <c r="H35" s="10" t="n">
        <f aca="false">'Weekly History'!H13</f>
        <v>22.8072727272727</v>
      </c>
      <c r="I35" s="10" t="n">
        <f aca="false">$B$5*'Weekly History'!F13+$B$6*'Weekly History'!G13</f>
        <v>28.2521212121212</v>
      </c>
      <c r="J35" s="10" t="n">
        <f aca="false">'Weekly History'!G13</f>
        <v>30.9090909090909</v>
      </c>
      <c r="K35" s="10" t="n">
        <f aca="false">ABS(H35-I35)</f>
        <v>5.44484848484849</v>
      </c>
      <c r="L35" s="10" t="n">
        <f aca="false">ABS(H35-J35)</f>
        <v>8.10181818181818</v>
      </c>
      <c r="N35" s="15" t="s">
        <v>42</v>
      </c>
      <c r="O35" s="15" t="s">
        <v>117</v>
      </c>
      <c r="P35" s="15" t="s">
        <v>79</v>
      </c>
      <c r="Q35" s="16" t="n">
        <f aca="false">SUMIFS('Hourly Usage'!H$4:H$63,'Hourly Usage'!$A$4:$A$63,"Year 3",'Hourly Usage'!$B$4:$B$63,$N35,'Hourly Usage'!$C$4:$C$63,$O35)</f>
        <v>1</v>
      </c>
      <c r="R35" s="16" t="n">
        <f aca="false">$B$5*SUMIFS('Hourly Usage'!H$4:H$63,'Hourly Usage'!$A$4:$A$63,"Year 1",'Hourly Usage'!$B$4:$B$63,$N35,'Hourly Usage'!$C$4:$C$63,$O35)+$B$6*SUMIFS('Hourly Usage'!H$4:H$63,'Hourly Usage'!$A$4:$A$63,"Year 2",'Hourly Usage'!$B$4:$B$63,$N35,'Hourly Usage'!$C$4:$C$63,$O35)</f>
        <v>0.999999999999999</v>
      </c>
      <c r="S35" s="16" t="n">
        <f aca="false">SUMIFS('Hourly Usage'!H$4:H$63,'Hourly Usage'!$A$4:$A$63,"Year 2",'Hourly Usage'!$B$4:$B$63,$N35,'Hourly Usage'!$C$4:$C$63,$O35)</f>
        <v>1</v>
      </c>
      <c r="T35" s="16" t="n">
        <f aca="false">ABS(Q35-R35)</f>
        <v>0</v>
      </c>
      <c r="U35" s="16" t="n">
        <f aca="false">ABS(Q35-S35)</f>
        <v>0</v>
      </c>
      <c r="V35" s="15" t="n">
        <f aca="false">IF(R35&gt;=$B$7-0.000001,1,0)</f>
        <v>1</v>
      </c>
      <c r="W35" s="15" t="n">
        <f aca="false">IF(Q35&gt;=$B$7-0.000001,1,0)</f>
        <v>1</v>
      </c>
      <c r="X35" s="15" t="n">
        <f aca="false">IF(V35=W35,1,0)</f>
        <v>1</v>
      </c>
      <c r="Y35" s="15" t="n">
        <f aca="false">IF(IF(S35&gt;=$B$7-0.000001,1,0)=W35,1,0)</f>
        <v>1</v>
      </c>
    </row>
    <row r="36" customFormat="false" ht="15" hidden="false" customHeight="false" outlineLevel="0" collapsed="false">
      <c r="A36" s="25" t="str">
        <f aca="false">'Weekly History'!A14</f>
        <v>Fall</v>
      </c>
      <c r="B36" s="25" t="str">
        <f aca="false">'Weekly History'!B14</f>
        <v>Fall Finals</v>
      </c>
      <c r="C36" s="12" t="n">
        <f aca="false">'Weekly History'!E14</f>
        <v>12</v>
      </c>
      <c r="D36" s="10" t="n">
        <f aca="false">$B$5*'Weekly History'!C14+$B$6*'Weekly History'!D14</f>
        <v>13</v>
      </c>
      <c r="E36" s="12" t="n">
        <f aca="false">'Weekly History'!D14</f>
        <v>13</v>
      </c>
      <c r="F36" s="10" t="n">
        <f aca="false">ABS(C36-D36)</f>
        <v>1</v>
      </c>
      <c r="G36" s="10" t="n">
        <f aca="false">ABS(C36-E36)</f>
        <v>1</v>
      </c>
      <c r="H36" s="10" t="n">
        <f aca="false">'Weekly History'!H14</f>
        <v>19.5490909090909</v>
      </c>
      <c r="I36" s="10" t="n">
        <f aca="false">$B$5*'Weekly History'!F14+$B$6*'Weekly History'!G14</f>
        <v>24.0815151515152</v>
      </c>
      <c r="J36" s="10" t="n">
        <f aca="false">'Weekly History'!G14</f>
        <v>25.1136363636364</v>
      </c>
      <c r="K36" s="10" t="n">
        <f aca="false">ABS(H36-I36)</f>
        <v>4.53242424242424</v>
      </c>
      <c r="L36" s="10" t="n">
        <f aca="false">ABS(H36-J36)</f>
        <v>5.56454545454545</v>
      </c>
      <c r="N36" s="15" t="s">
        <v>42</v>
      </c>
      <c r="O36" s="15" t="s">
        <v>117</v>
      </c>
      <c r="P36" s="15" t="s">
        <v>81</v>
      </c>
      <c r="Q36" s="16" t="n">
        <f aca="false">SUMIFS('Hourly Usage'!I$4:I$63,'Hourly Usage'!$A$4:$A$63,"Year 3",'Hourly Usage'!$B$4:$B$63,$N36,'Hourly Usage'!$C$4:$C$63,$O36)</f>
        <v>0.66666666666667</v>
      </c>
      <c r="R36" s="16" t="n">
        <f aca="false">$B$5*SUMIFS('Hourly Usage'!I$4:I$63,'Hourly Usage'!$A$4:$A$63,"Year 1",'Hourly Usage'!$B$4:$B$63,$N36,'Hourly Usage'!$C$4:$C$63,$O36)+$B$6*SUMIFS('Hourly Usage'!I$4:I$63,'Hourly Usage'!$A$4:$A$63,"Year 2",'Hourly Usage'!$B$4:$B$63,$N36,'Hourly Usage'!$C$4:$C$63,$O36)</f>
        <v>0.500000000000004</v>
      </c>
      <c r="S36" s="16" t="n">
        <f aca="false">SUMIFS('Hourly Usage'!I$4:I$63,'Hourly Usage'!$A$4:$A$63,"Year 2",'Hourly Usage'!$B$4:$B$63,$N36,'Hourly Usage'!$C$4:$C$63,$O36)</f>
        <v>0.500000000000004</v>
      </c>
      <c r="T36" s="16" t="n">
        <f aca="false">ABS(Q36-R36)</f>
        <v>0.166666666666666</v>
      </c>
      <c r="U36" s="16" t="n">
        <f aca="false">ABS(Q36-S36)</f>
        <v>0.166666666666666</v>
      </c>
      <c r="V36" s="15" t="n">
        <f aca="false">IF(R36&gt;=$B$7-0.000001,1,0)</f>
        <v>1</v>
      </c>
      <c r="W36" s="15" t="n">
        <f aca="false">IF(Q36&gt;=$B$7-0.000001,1,0)</f>
        <v>1</v>
      </c>
      <c r="X36" s="15" t="n">
        <f aca="false">IF(V36=W36,1,0)</f>
        <v>1</v>
      </c>
      <c r="Y36" s="15" t="n">
        <f aca="false">IF(IF(S36&gt;=$B$7-0.000001,1,0)=W36,1,0)</f>
        <v>1</v>
      </c>
    </row>
    <row r="37" customFormat="false" ht="15" hidden="false" customHeight="false" outlineLevel="0" collapsed="false">
      <c r="A37" s="25" t="str">
        <f aca="false">'Weekly History'!A15</f>
        <v>Winter</v>
      </c>
      <c r="B37" s="25" t="str">
        <f aca="false">'Weekly History'!B15</f>
        <v>Winter Wk 1</v>
      </c>
      <c r="C37" s="12" t="n">
        <f aca="false">'Weekly History'!E15</f>
        <v>10</v>
      </c>
      <c r="D37" s="10" t="n">
        <f aca="false">$B$5*'Weekly History'!C15+$B$6*'Weekly History'!D15</f>
        <v>13.2</v>
      </c>
      <c r="E37" s="12" t="n">
        <f aca="false">'Weekly History'!D15</f>
        <v>14</v>
      </c>
      <c r="F37" s="10" t="n">
        <f aca="false">ABS(C37-D37)</f>
        <v>3.2</v>
      </c>
      <c r="G37" s="10" t="n">
        <f aca="false">ABS(C37-E37)</f>
        <v>4</v>
      </c>
      <c r="H37" s="10" t="n">
        <f aca="false">'Weekly History'!H15</f>
        <v>16.6</v>
      </c>
      <c r="I37" s="10" t="n">
        <f aca="false">$B$5*'Weekly History'!F15+$B$6*'Weekly History'!G15</f>
        <v>19.5281538461538</v>
      </c>
      <c r="J37" s="10" t="n">
        <f aca="false">'Weekly History'!G15</f>
        <v>20.75</v>
      </c>
      <c r="K37" s="10" t="n">
        <f aca="false">ABS(H37-I37)</f>
        <v>2.92815384615384</v>
      </c>
      <c r="L37" s="10" t="n">
        <f aca="false">ABS(H37-J37)</f>
        <v>4.15</v>
      </c>
      <c r="N37" s="15" t="s">
        <v>42</v>
      </c>
      <c r="O37" s="15" t="s">
        <v>117</v>
      </c>
      <c r="P37" s="15" t="s">
        <v>85</v>
      </c>
      <c r="Q37" s="16" t="n">
        <f aca="false">SUMIFS('Hourly Usage'!J$4:J$63,'Hourly Usage'!$A$4:$A$63,"Year 3",'Hourly Usage'!$B$4:$B$63,$N37,'Hourly Usage'!$C$4:$C$63,$O37)</f>
        <v>0</v>
      </c>
      <c r="R37" s="16" t="n">
        <f aca="false">$B$5*SUMIFS('Hourly Usage'!J$4:J$63,'Hourly Usage'!$A$4:$A$63,"Year 1",'Hourly Usage'!$B$4:$B$63,$N37,'Hourly Usage'!$C$4:$C$63,$O37)+$B$6*SUMIFS('Hourly Usage'!J$4:J$63,'Hourly Usage'!$A$4:$A$63,"Year 2",'Hourly Usage'!$B$4:$B$63,$N37,'Hourly Usage'!$C$4:$C$63,$O37)</f>
        <v>0</v>
      </c>
      <c r="S37" s="16" t="n">
        <f aca="false">SUMIFS('Hourly Usage'!J$4:J$63,'Hourly Usage'!$A$4:$A$63,"Year 2",'Hourly Usage'!$B$4:$B$63,$N37,'Hourly Usage'!$C$4:$C$63,$O37)</f>
        <v>0</v>
      </c>
      <c r="T37" s="16" t="n">
        <f aca="false">ABS(Q37-R37)</f>
        <v>0</v>
      </c>
      <c r="U37" s="16" t="n">
        <f aca="false">ABS(Q37-S37)</f>
        <v>0</v>
      </c>
      <c r="V37" s="15" t="n">
        <f aca="false">IF(R37&gt;=$B$7-0.000001,1,0)</f>
        <v>0</v>
      </c>
      <c r="W37" s="15" t="n">
        <f aca="false">IF(Q37&gt;=$B$7-0.000001,1,0)</f>
        <v>0</v>
      </c>
      <c r="X37" s="15" t="n">
        <f aca="false">IF(V37=W37,1,0)</f>
        <v>1</v>
      </c>
      <c r="Y37" s="15" t="n">
        <f aca="false">IF(IF(S37&gt;=$B$7-0.000001,1,0)=W37,1,0)</f>
        <v>1</v>
      </c>
    </row>
    <row r="38" customFormat="false" ht="15" hidden="false" customHeight="false" outlineLevel="0" collapsed="false">
      <c r="A38" s="25" t="str">
        <f aca="false">'Weekly History'!A16</f>
        <v>Winter</v>
      </c>
      <c r="B38" s="25" t="str">
        <f aca="false">'Weekly History'!B16</f>
        <v>Winter Wk 2</v>
      </c>
      <c r="C38" s="12" t="n">
        <f aca="false">'Weekly History'!E16</f>
        <v>11</v>
      </c>
      <c r="D38" s="10" t="n">
        <f aca="false">$B$5*'Weekly History'!C16+$B$6*'Weekly History'!D16</f>
        <v>13</v>
      </c>
      <c r="E38" s="12" t="n">
        <f aca="false">'Weekly History'!D16</f>
        <v>13</v>
      </c>
      <c r="F38" s="10" t="n">
        <f aca="false">ABS(C38-D38)</f>
        <v>2</v>
      </c>
      <c r="G38" s="10" t="n">
        <f aca="false">ABS(C38-E38)</f>
        <v>2</v>
      </c>
      <c r="H38" s="10" t="n">
        <f aca="false">'Weekly History'!H16</f>
        <v>18.26</v>
      </c>
      <c r="I38" s="10" t="n">
        <f aca="false">$B$5*'Weekly History'!F16+$B$6*'Weekly History'!G16</f>
        <v>19.2287142857143</v>
      </c>
      <c r="J38" s="10" t="n">
        <f aca="false">'Weekly History'!G16</f>
        <v>19.2678571428571</v>
      </c>
      <c r="K38" s="10" t="n">
        <f aca="false">ABS(H38-I38)</f>
        <v>0.968714285714285</v>
      </c>
      <c r="L38" s="10" t="n">
        <f aca="false">ABS(H38-J38)</f>
        <v>1.00785714285714</v>
      </c>
      <c r="N38" s="15" t="s">
        <v>42</v>
      </c>
      <c r="O38" s="15" t="s">
        <v>117</v>
      </c>
      <c r="P38" s="15" t="s">
        <v>88</v>
      </c>
      <c r="Q38" s="16" t="n">
        <f aca="false">SUMIFS('Hourly Usage'!K$4:K$63,'Hourly Usage'!$A$4:$A$63,"Year 3",'Hourly Usage'!$B$4:$B$63,$N38,'Hourly Usage'!$C$4:$C$63,$O38)</f>
        <v>0.999999999999999</v>
      </c>
      <c r="R38" s="16" t="n">
        <f aca="false">$B$5*SUMIFS('Hourly Usage'!K$4:K$63,'Hourly Usage'!$A$4:$A$63,"Year 1",'Hourly Usage'!$B$4:$B$63,$N38,'Hourly Usage'!$C$4:$C$63,$O38)+$B$6*SUMIFS('Hourly Usage'!K$4:K$63,'Hourly Usage'!$A$4:$A$63,"Year 2",'Hourly Usage'!$B$4:$B$63,$N38,'Hourly Usage'!$C$4:$C$63,$O38)</f>
        <v>0.999999999999998</v>
      </c>
      <c r="S38" s="16" t="n">
        <f aca="false">SUMIFS('Hourly Usage'!K$4:K$63,'Hourly Usage'!$A$4:$A$63,"Year 2",'Hourly Usage'!$B$4:$B$63,$N38,'Hourly Usage'!$C$4:$C$63,$O38)</f>
        <v>0.999999999999999</v>
      </c>
      <c r="T38" s="16" t="n">
        <f aca="false">ABS(Q38-R38)</f>
        <v>0</v>
      </c>
      <c r="U38" s="16" t="n">
        <f aca="false">ABS(Q38-S38)</f>
        <v>0</v>
      </c>
      <c r="V38" s="15" t="n">
        <f aca="false">IF(R38&gt;=$B$7-0.000001,1,0)</f>
        <v>1</v>
      </c>
      <c r="W38" s="15" t="n">
        <f aca="false">IF(Q38&gt;=$B$7-0.000001,1,0)</f>
        <v>1</v>
      </c>
      <c r="X38" s="15" t="n">
        <f aca="false">IF(V38=W38,1,0)</f>
        <v>1</v>
      </c>
      <c r="Y38" s="15" t="n">
        <f aca="false">IF(IF(S38&gt;=$B$7-0.000001,1,0)=W38,1,0)</f>
        <v>1</v>
      </c>
    </row>
    <row r="39" customFormat="false" ht="15" hidden="false" customHeight="false" outlineLevel="0" collapsed="false">
      <c r="A39" s="25" t="str">
        <f aca="false">'Weekly History'!A17</f>
        <v>Winter</v>
      </c>
      <c r="B39" s="25" t="str">
        <f aca="false">'Weekly History'!B17</f>
        <v>Winter Wk 3</v>
      </c>
      <c r="C39" s="12" t="n">
        <f aca="false">'Weekly History'!E17</f>
        <v>12</v>
      </c>
      <c r="D39" s="10" t="n">
        <f aca="false">$B$5*'Weekly History'!C17+$B$6*'Weekly History'!D17</f>
        <v>16.8</v>
      </c>
      <c r="E39" s="12" t="n">
        <f aca="false">'Weekly History'!D17</f>
        <v>16</v>
      </c>
      <c r="F39" s="10" t="n">
        <f aca="false">ABS(C39-D39)</f>
        <v>4.8</v>
      </c>
      <c r="G39" s="10" t="n">
        <f aca="false">ABS(C39-E39)</f>
        <v>4</v>
      </c>
      <c r="H39" s="10" t="n">
        <f aca="false">'Weekly History'!H17</f>
        <v>19.92</v>
      </c>
      <c r="I39" s="10" t="n">
        <f aca="false">$B$5*'Weekly History'!F17+$B$6*'Weekly History'!G17</f>
        <v>24.8458021978022</v>
      </c>
      <c r="J39" s="10" t="n">
        <f aca="false">'Weekly History'!G17</f>
        <v>23.7142857142857</v>
      </c>
      <c r="K39" s="10" t="n">
        <f aca="false">ABS(H39-I39)</f>
        <v>4.9258021978022</v>
      </c>
      <c r="L39" s="10" t="n">
        <f aca="false">ABS(H39-J39)</f>
        <v>3.79428571428571</v>
      </c>
      <c r="N39" s="15" t="s">
        <v>42</v>
      </c>
      <c r="O39" s="15" t="s">
        <v>117</v>
      </c>
      <c r="P39" s="15" t="s">
        <v>91</v>
      </c>
      <c r="Q39" s="16" t="n">
        <f aca="false">SUMIFS('Hourly Usage'!L$4:L$63,'Hourly Usage'!$A$4:$A$63,"Year 3",'Hourly Usage'!$B$4:$B$63,$N39,'Hourly Usage'!$C$4:$C$63,$O39)</f>
        <v>0</v>
      </c>
      <c r="R39" s="16" t="n">
        <f aca="false">$B$5*SUMIFS('Hourly Usage'!L$4:L$63,'Hourly Usage'!$A$4:$A$63,"Year 1",'Hourly Usage'!$B$4:$B$63,$N39,'Hourly Usage'!$C$4:$C$63,$O39)+$B$6*SUMIFS('Hourly Usage'!L$4:L$63,'Hourly Usage'!$A$4:$A$63,"Year 2",'Hourly Usage'!$B$4:$B$63,$N39,'Hourly Usage'!$C$4:$C$63,$O39)</f>
        <v>0.200000000000001</v>
      </c>
      <c r="S39" s="16" t="n">
        <f aca="false">SUMIFS('Hourly Usage'!L$4:L$63,'Hourly Usage'!$A$4:$A$63,"Year 2",'Hourly Usage'!$B$4:$B$63,$N39,'Hourly Usage'!$C$4:$C$63,$O39)</f>
        <v>0</v>
      </c>
      <c r="T39" s="16" t="n">
        <f aca="false">ABS(Q39-R39)</f>
        <v>0.200000000000001</v>
      </c>
      <c r="U39" s="16" t="n">
        <f aca="false">ABS(Q39-S39)</f>
        <v>0</v>
      </c>
      <c r="V39" s="15" t="n">
        <f aca="false">IF(R39&gt;=$B$7-0.000001,1,0)</f>
        <v>0</v>
      </c>
      <c r="W39" s="15" t="n">
        <f aca="false">IF(Q39&gt;=$B$7-0.000001,1,0)</f>
        <v>0</v>
      </c>
      <c r="X39" s="15" t="n">
        <f aca="false">IF(V39=W39,1,0)</f>
        <v>1</v>
      </c>
      <c r="Y39" s="15" t="n">
        <f aca="false">IF(IF(S39&gt;=$B$7-0.000001,1,0)=W39,1,0)</f>
        <v>1</v>
      </c>
    </row>
    <row r="40" customFormat="false" ht="15" hidden="false" customHeight="false" outlineLevel="0" collapsed="false">
      <c r="A40" s="25" t="str">
        <f aca="false">'Weekly History'!A18</f>
        <v>Winter</v>
      </c>
      <c r="B40" s="25" t="str">
        <f aca="false">'Weekly History'!B18</f>
        <v>Winter Wk 4</v>
      </c>
      <c r="C40" s="12" t="n">
        <f aca="false">'Weekly History'!E18</f>
        <v>11</v>
      </c>
      <c r="D40" s="10" t="n">
        <f aca="false">$B$5*'Weekly History'!C18+$B$6*'Weekly History'!D18</f>
        <v>14</v>
      </c>
      <c r="E40" s="12" t="n">
        <f aca="false">'Weekly History'!D18</f>
        <v>14</v>
      </c>
      <c r="F40" s="10" t="n">
        <f aca="false">ABS(C40-D40)</f>
        <v>3</v>
      </c>
      <c r="G40" s="10" t="n">
        <f aca="false">ABS(C40-E40)</f>
        <v>3</v>
      </c>
      <c r="H40" s="10" t="n">
        <f aca="false">'Weekly History'!H18</f>
        <v>18.26</v>
      </c>
      <c r="I40" s="10" t="n">
        <f aca="false">$B$5*'Weekly History'!F18+$B$6*'Weekly History'!G18</f>
        <v>20.7078461538462</v>
      </c>
      <c r="J40" s="10" t="n">
        <f aca="false">'Weekly History'!G18</f>
        <v>20.75</v>
      </c>
      <c r="K40" s="10" t="n">
        <f aca="false">ABS(H40-I40)</f>
        <v>2.44784615384615</v>
      </c>
      <c r="L40" s="10" t="n">
        <f aca="false">ABS(H40-J40)</f>
        <v>2.49</v>
      </c>
      <c r="N40" s="15" t="s">
        <v>42</v>
      </c>
      <c r="O40" s="15" t="s">
        <v>118</v>
      </c>
      <c r="P40" s="15" t="s">
        <v>71</v>
      </c>
      <c r="Q40" s="16" t="n">
        <f aca="false">SUMIFS('Hourly Usage'!D$4:D$63,'Hourly Usage'!$A$4:$A$63,"Year 3",'Hourly Usage'!$B$4:$B$63,$N40,'Hourly Usage'!$C$4:$C$63,$O40)</f>
        <v>0</v>
      </c>
      <c r="R40" s="16" t="n">
        <f aca="false">$B$5*SUMIFS('Hourly Usage'!D$4:D$63,'Hourly Usage'!$A$4:$A$63,"Year 1",'Hourly Usage'!$B$4:$B$63,$N40,'Hourly Usage'!$C$4:$C$63,$O40)+$B$6*SUMIFS('Hourly Usage'!D$4:D$63,'Hourly Usage'!$A$4:$A$63,"Year 2",'Hourly Usage'!$B$4:$B$63,$N40,'Hourly Usage'!$C$4:$C$63,$O40)</f>
        <v>0</v>
      </c>
      <c r="S40" s="16" t="n">
        <f aca="false">SUMIFS('Hourly Usage'!D$4:D$63,'Hourly Usage'!$A$4:$A$63,"Year 2",'Hourly Usage'!$B$4:$B$63,$N40,'Hourly Usage'!$C$4:$C$63,$O40)</f>
        <v>0</v>
      </c>
      <c r="T40" s="16" t="n">
        <f aca="false">ABS(Q40-R40)</f>
        <v>0</v>
      </c>
      <c r="U40" s="16" t="n">
        <f aca="false">ABS(Q40-S40)</f>
        <v>0</v>
      </c>
      <c r="V40" s="15" t="n">
        <f aca="false">IF(R40&gt;=$B$7-0.000001,1,0)</f>
        <v>0</v>
      </c>
      <c r="W40" s="15" t="n">
        <f aca="false">IF(Q40&gt;=$B$7-0.000001,1,0)</f>
        <v>0</v>
      </c>
      <c r="X40" s="15" t="n">
        <f aca="false">IF(V40=W40,1,0)</f>
        <v>1</v>
      </c>
      <c r="Y40" s="15" t="n">
        <f aca="false">IF(IF(S40&gt;=$B$7-0.000001,1,0)=W40,1,0)</f>
        <v>1</v>
      </c>
    </row>
    <row r="41" customFormat="false" ht="15" hidden="false" customHeight="false" outlineLevel="0" collapsed="false">
      <c r="A41" s="25" t="str">
        <f aca="false">'Weekly History'!A19</f>
        <v>Winter</v>
      </c>
      <c r="B41" s="25" t="str">
        <f aca="false">'Weekly History'!B19</f>
        <v>Winter Wk 5</v>
      </c>
      <c r="C41" s="12" t="n">
        <f aca="false">'Weekly History'!E19</f>
        <v>12</v>
      </c>
      <c r="D41" s="10" t="n">
        <f aca="false">$B$5*'Weekly History'!C19+$B$6*'Weekly History'!D19</f>
        <v>13.6</v>
      </c>
      <c r="E41" s="12" t="n">
        <f aca="false">'Weekly History'!D19</f>
        <v>14</v>
      </c>
      <c r="F41" s="10" t="n">
        <f aca="false">ABS(C41-D41)</f>
        <v>1.6</v>
      </c>
      <c r="G41" s="10" t="n">
        <f aca="false">ABS(C41-E41)</f>
        <v>2</v>
      </c>
      <c r="H41" s="10" t="n">
        <f aca="false">'Weekly History'!H19</f>
        <v>19.92</v>
      </c>
      <c r="I41" s="10" t="n">
        <f aca="false">$B$5*'Weekly History'!F19+$B$6*'Weekly History'!G19</f>
        <v>20.118</v>
      </c>
      <c r="J41" s="10" t="n">
        <f aca="false">'Weekly History'!G19</f>
        <v>20.75</v>
      </c>
      <c r="K41" s="10" t="n">
        <f aca="false">ABS(H41-I41)</f>
        <v>0.198</v>
      </c>
      <c r="L41" s="10" t="n">
        <f aca="false">ABS(H41-J41)</f>
        <v>0.829999999999998</v>
      </c>
      <c r="N41" s="15" t="s">
        <v>42</v>
      </c>
      <c r="O41" s="15" t="s">
        <v>118</v>
      </c>
      <c r="P41" s="15" t="s">
        <v>74</v>
      </c>
      <c r="Q41" s="16" t="n">
        <f aca="false">SUMIFS('Hourly Usage'!E$4:E$63,'Hourly Usage'!$A$4:$A$63,"Year 3",'Hourly Usage'!$B$4:$B$63,$N41,'Hourly Usage'!$C$4:$C$63,$O41)</f>
        <v>1</v>
      </c>
      <c r="R41" s="16" t="n">
        <f aca="false">$B$5*SUMIFS('Hourly Usage'!E$4:E$63,'Hourly Usage'!$A$4:$A$63,"Year 1",'Hourly Usage'!$B$4:$B$63,$N41,'Hourly Usage'!$C$4:$C$63,$O41)+$B$6*SUMIFS('Hourly Usage'!E$4:E$63,'Hourly Usage'!$A$4:$A$63,"Year 2",'Hourly Usage'!$B$4:$B$63,$N41,'Hourly Usage'!$C$4:$C$63,$O41)</f>
        <v>0.4</v>
      </c>
      <c r="S41" s="16" t="n">
        <f aca="false">SUMIFS('Hourly Usage'!E$4:E$63,'Hourly Usage'!$A$4:$A$63,"Year 2",'Hourly Usage'!$B$4:$B$63,$N41,'Hourly Usage'!$C$4:$C$63,$O41)</f>
        <v>0</v>
      </c>
      <c r="T41" s="16" t="n">
        <f aca="false">ABS(Q41-R41)</f>
        <v>0.6</v>
      </c>
      <c r="U41" s="16" t="n">
        <f aca="false">ABS(Q41-S41)</f>
        <v>1</v>
      </c>
      <c r="V41" s="15" t="n">
        <f aca="false">IF(R41&gt;=$B$7-0.000001,1,0)</f>
        <v>0</v>
      </c>
      <c r="W41" s="15" t="n">
        <f aca="false">IF(Q41&gt;=$B$7-0.000001,1,0)</f>
        <v>1</v>
      </c>
      <c r="X41" s="15" t="n">
        <f aca="false">IF(V41=W41,1,0)</f>
        <v>0</v>
      </c>
      <c r="Y41" s="15" t="n">
        <f aca="false">IF(IF(S41&gt;=$B$7-0.000001,1,0)=W41,1,0)</f>
        <v>0</v>
      </c>
    </row>
    <row r="42" customFormat="false" ht="15" hidden="false" customHeight="false" outlineLevel="0" collapsed="false">
      <c r="A42" s="25" t="str">
        <f aca="false">'Weekly History'!A20</f>
        <v>Winter</v>
      </c>
      <c r="B42" s="25" t="str">
        <f aca="false">'Weekly History'!B20</f>
        <v>Winter Wk 6</v>
      </c>
      <c r="C42" s="12" t="n">
        <f aca="false">'Weekly History'!E20</f>
        <v>12</v>
      </c>
      <c r="D42" s="10" t="n">
        <f aca="false">$B$5*'Weekly History'!C20+$B$6*'Weekly History'!D20</f>
        <v>15.4</v>
      </c>
      <c r="E42" s="12" t="n">
        <f aca="false">'Weekly History'!D20</f>
        <v>17</v>
      </c>
      <c r="F42" s="10" t="n">
        <f aca="false">ABS(C42-D42)</f>
        <v>3.4</v>
      </c>
      <c r="G42" s="10" t="n">
        <f aca="false">ABS(C42-E42)</f>
        <v>5</v>
      </c>
      <c r="H42" s="10" t="n">
        <f aca="false">'Weekly History'!H20</f>
        <v>19.92</v>
      </c>
      <c r="I42" s="10" t="n">
        <f aca="false">$B$5*'Weekly History'!F20+$B$6*'Weekly History'!G20</f>
        <v>22.7858571428571</v>
      </c>
      <c r="J42" s="10" t="n">
        <f aca="false">'Weekly History'!G20</f>
        <v>25.1964285714286</v>
      </c>
      <c r="K42" s="10" t="n">
        <f aca="false">ABS(H42-I42)</f>
        <v>2.86585714285715</v>
      </c>
      <c r="L42" s="10" t="n">
        <f aca="false">ABS(H42-J42)</f>
        <v>5.27642857142857</v>
      </c>
      <c r="N42" s="15" t="s">
        <v>42</v>
      </c>
      <c r="O42" s="15" t="s">
        <v>118</v>
      </c>
      <c r="P42" s="15" t="s">
        <v>76</v>
      </c>
      <c r="Q42" s="16" t="n">
        <f aca="false">SUMIFS('Hourly Usage'!F$4:F$63,'Hourly Usage'!$A$4:$A$63,"Year 3",'Hourly Usage'!$B$4:$B$63,$N42,'Hourly Usage'!$C$4:$C$63,$O42)</f>
        <v>0.999999999999998</v>
      </c>
      <c r="R42" s="16" t="n">
        <f aca="false">$B$5*SUMIFS('Hourly Usage'!F$4:F$63,'Hourly Usage'!$A$4:$A$63,"Year 1",'Hourly Usage'!$B$4:$B$63,$N42,'Hourly Usage'!$C$4:$C$63,$O42)+$B$6*SUMIFS('Hourly Usage'!F$4:F$63,'Hourly Usage'!$A$4:$A$63,"Year 2",'Hourly Usage'!$B$4:$B$63,$N42,'Hourly Usage'!$C$4:$C$63,$O42)</f>
        <v>0.399999999999999</v>
      </c>
      <c r="S42" s="16" t="n">
        <f aca="false">SUMIFS('Hourly Usage'!F$4:F$63,'Hourly Usage'!$A$4:$A$63,"Year 2",'Hourly Usage'!$B$4:$B$63,$N42,'Hourly Usage'!$C$4:$C$63,$O42)</f>
        <v>0</v>
      </c>
      <c r="T42" s="16" t="n">
        <f aca="false">ABS(Q42-R42)</f>
        <v>0.599999999999999</v>
      </c>
      <c r="U42" s="16" t="n">
        <f aca="false">ABS(Q42-S42)</f>
        <v>0.999999999999998</v>
      </c>
      <c r="V42" s="15" t="n">
        <f aca="false">IF(R42&gt;=$B$7-0.000001,1,0)</f>
        <v>0</v>
      </c>
      <c r="W42" s="15" t="n">
        <f aca="false">IF(Q42&gt;=$B$7-0.000001,1,0)</f>
        <v>1</v>
      </c>
      <c r="X42" s="15" t="n">
        <f aca="false">IF(V42=W42,1,0)</f>
        <v>0</v>
      </c>
      <c r="Y42" s="15" t="n">
        <f aca="false">IF(IF(S42&gt;=$B$7-0.000001,1,0)=W42,1,0)</f>
        <v>0</v>
      </c>
    </row>
    <row r="43" customFormat="false" ht="15" hidden="false" customHeight="false" outlineLevel="0" collapsed="false">
      <c r="A43" s="25" t="str">
        <f aca="false">'Weekly History'!A21</f>
        <v>Winter</v>
      </c>
      <c r="B43" s="25" t="str">
        <f aca="false">'Weekly History'!B21</f>
        <v>Winter Wk 7</v>
      </c>
      <c r="C43" s="12" t="n">
        <f aca="false">'Weekly History'!E21</f>
        <v>13</v>
      </c>
      <c r="D43" s="10" t="n">
        <f aca="false">$B$5*'Weekly History'!C21+$B$6*'Weekly History'!D21</f>
        <v>14.8</v>
      </c>
      <c r="E43" s="12" t="n">
        <f aca="false">'Weekly History'!D21</f>
        <v>16</v>
      </c>
      <c r="F43" s="10" t="n">
        <f aca="false">ABS(C43-D43)</f>
        <v>1.8</v>
      </c>
      <c r="G43" s="10" t="n">
        <f aca="false">ABS(C43-E43)</f>
        <v>3</v>
      </c>
      <c r="H43" s="10" t="n">
        <f aca="false">'Weekly History'!H21</f>
        <v>21.58</v>
      </c>
      <c r="I43" s="10" t="n">
        <f aca="false">$B$5*'Weekly History'!F21+$B$6*'Weekly History'!G21</f>
        <v>21.8965714285714</v>
      </c>
      <c r="J43" s="10" t="n">
        <f aca="false">'Weekly History'!G21</f>
        <v>23.7142857142857</v>
      </c>
      <c r="K43" s="10" t="n">
        <f aca="false">ABS(H43-I43)</f>
        <v>0.316571428571429</v>
      </c>
      <c r="L43" s="10" t="n">
        <f aca="false">ABS(H43-J43)</f>
        <v>2.13428571428571</v>
      </c>
      <c r="N43" s="15" t="s">
        <v>42</v>
      </c>
      <c r="O43" s="15" t="s">
        <v>118</v>
      </c>
      <c r="P43" s="15" t="s">
        <v>78</v>
      </c>
      <c r="Q43" s="16" t="n">
        <f aca="false">SUMIFS('Hourly Usage'!G$4:G$63,'Hourly Usage'!$A$4:$A$63,"Year 3",'Hourly Usage'!$B$4:$B$63,$N43,'Hourly Usage'!$C$4:$C$63,$O43)</f>
        <v>0.500000000000004</v>
      </c>
      <c r="R43" s="16" t="n">
        <f aca="false">$B$5*SUMIFS('Hourly Usage'!G$4:G$63,'Hourly Usage'!$A$4:$A$63,"Year 1",'Hourly Usage'!$B$4:$B$63,$N43,'Hourly Usage'!$C$4:$C$63,$O43)+$B$6*SUMIFS('Hourly Usage'!G$4:G$63,'Hourly Usage'!$A$4:$A$63,"Year 2",'Hourly Usage'!$B$4:$B$63,$N43,'Hourly Usage'!$C$4:$C$63,$O43)</f>
        <v>0</v>
      </c>
      <c r="S43" s="16" t="n">
        <f aca="false">SUMIFS('Hourly Usage'!G$4:G$63,'Hourly Usage'!$A$4:$A$63,"Year 2",'Hourly Usage'!$B$4:$B$63,$N43,'Hourly Usage'!$C$4:$C$63,$O43)</f>
        <v>0</v>
      </c>
      <c r="T43" s="16" t="n">
        <f aca="false">ABS(Q43-R43)</f>
        <v>0.500000000000004</v>
      </c>
      <c r="U43" s="16" t="n">
        <f aca="false">ABS(Q43-S43)</f>
        <v>0.500000000000004</v>
      </c>
      <c r="V43" s="15" t="n">
        <f aca="false">IF(R43&gt;=$B$7-0.000001,1,0)</f>
        <v>0</v>
      </c>
      <c r="W43" s="15" t="n">
        <f aca="false">IF(Q43&gt;=$B$7-0.000001,1,0)</f>
        <v>1</v>
      </c>
      <c r="X43" s="15" t="n">
        <f aca="false">IF(V43=W43,1,0)</f>
        <v>0</v>
      </c>
      <c r="Y43" s="15" t="n">
        <f aca="false">IF(IF(S43&gt;=$B$7-0.000001,1,0)=W43,1,0)</f>
        <v>0</v>
      </c>
    </row>
    <row r="44" customFormat="false" ht="15" hidden="false" customHeight="false" outlineLevel="0" collapsed="false">
      <c r="A44" s="25" t="str">
        <f aca="false">'Weekly History'!A22</f>
        <v>Winter</v>
      </c>
      <c r="B44" s="25" t="str">
        <f aca="false">'Weekly History'!B22</f>
        <v>Winter Wk 8</v>
      </c>
      <c r="C44" s="12" t="n">
        <f aca="false">'Weekly History'!E22</f>
        <v>12</v>
      </c>
      <c r="D44" s="10" t="n">
        <f aca="false">$B$5*'Weekly History'!C22+$B$6*'Weekly History'!D22</f>
        <v>14.6</v>
      </c>
      <c r="E44" s="12" t="n">
        <f aca="false">'Weekly History'!D22</f>
        <v>15</v>
      </c>
      <c r="F44" s="10" t="n">
        <f aca="false">ABS(C44-D44)</f>
        <v>2.6</v>
      </c>
      <c r="G44" s="10" t="n">
        <f aca="false">ABS(C44-E44)</f>
        <v>3</v>
      </c>
      <c r="H44" s="10" t="n">
        <f aca="false">'Weekly History'!H22</f>
        <v>19.92</v>
      </c>
      <c r="I44" s="10" t="n">
        <f aca="false">$B$5*'Weekly History'!F22+$B$6*'Weekly History'!G22</f>
        <v>21.5971318681319</v>
      </c>
      <c r="J44" s="10" t="n">
        <f aca="false">'Weekly History'!G22</f>
        <v>22.2321428571429</v>
      </c>
      <c r="K44" s="10" t="n">
        <f aca="false">ABS(H44-I44)</f>
        <v>1.67713186813187</v>
      </c>
      <c r="L44" s="10" t="n">
        <f aca="false">ABS(H44-J44)</f>
        <v>2.31214285714286</v>
      </c>
      <c r="N44" s="15" t="s">
        <v>42</v>
      </c>
      <c r="O44" s="15" t="s">
        <v>118</v>
      </c>
      <c r="P44" s="15" t="s">
        <v>79</v>
      </c>
      <c r="Q44" s="16" t="n">
        <f aca="false">SUMIFS('Hourly Usage'!H$4:H$63,'Hourly Usage'!$A$4:$A$63,"Year 3",'Hourly Usage'!$B$4:$B$63,$N44,'Hourly Usage'!$C$4:$C$63,$O44)</f>
        <v>0.999999999999999</v>
      </c>
      <c r="R44" s="16" t="n">
        <f aca="false">$B$5*SUMIFS('Hourly Usage'!H$4:H$63,'Hourly Usage'!$A$4:$A$63,"Year 1",'Hourly Usage'!$B$4:$B$63,$N44,'Hourly Usage'!$C$4:$C$63,$O44)+$B$6*SUMIFS('Hourly Usage'!H$4:H$63,'Hourly Usage'!$A$4:$A$63,"Year 2",'Hourly Usage'!$B$4:$B$63,$N44,'Hourly Usage'!$C$4:$C$63,$O44)</f>
        <v>0.4</v>
      </c>
      <c r="S44" s="16" t="n">
        <f aca="false">SUMIFS('Hourly Usage'!H$4:H$63,'Hourly Usage'!$A$4:$A$63,"Year 2",'Hourly Usage'!$B$4:$B$63,$N44,'Hourly Usage'!$C$4:$C$63,$O44)</f>
        <v>0</v>
      </c>
      <c r="T44" s="16" t="n">
        <f aca="false">ABS(Q44-R44)</f>
        <v>0.599999999999999</v>
      </c>
      <c r="U44" s="16" t="n">
        <f aca="false">ABS(Q44-S44)</f>
        <v>0.999999999999999</v>
      </c>
      <c r="V44" s="15" t="n">
        <f aca="false">IF(R44&gt;=$B$7-0.000001,1,0)</f>
        <v>0</v>
      </c>
      <c r="W44" s="15" t="n">
        <f aca="false">IF(Q44&gt;=$B$7-0.000001,1,0)</f>
        <v>1</v>
      </c>
      <c r="X44" s="15" t="n">
        <f aca="false">IF(V44=W44,1,0)</f>
        <v>0</v>
      </c>
      <c r="Y44" s="15" t="n">
        <f aca="false">IF(IF(S44&gt;=$B$7-0.000001,1,0)=W44,1,0)</f>
        <v>0</v>
      </c>
    </row>
    <row r="45" customFormat="false" ht="15" hidden="false" customHeight="false" outlineLevel="0" collapsed="false">
      <c r="A45" s="25" t="str">
        <f aca="false">'Weekly History'!A23</f>
        <v>Winter</v>
      </c>
      <c r="B45" s="25" t="str">
        <f aca="false">'Weekly History'!B23</f>
        <v>Winter Wk 9</v>
      </c>
      <c r="C45" s="12" t="n">
        <f aca="false">'Weekly History'!E23</f>
        <v>12</v>
      </c>
      <c r="D45" s="10" t="n">
        <f aca="false">$B$5*'Weekly History'!C23+$B$6*'Weekly History'!D23</f>
        <v>15.6</v>
      </c>
      <c r="E45" s="12" t="n">
        <f aca="false">'Weekly History'!D23</f>
        <v>16</v>
      </c>
      <c r="F45" s="10" t="n">
        <f aca="false">ABS(C45-D45)</f>
        <v>3.6</v>
      </c>
      <c r="G45" s="10" t="n">
        <f aca="false">ABS(C45-E45)</f>
        <v>4</v>
      </c>
      <c r="H45" s="10" t="n">
        <f aca="false">'Weekly History'!H23</f>
        <v>19.92</v>
      </c>
      <c r="I45" s="10" t="n">
        <f aca="false">$B$5*'Weekly History'!F23+$B$6*'Weekly History'!G23</f>
        <v>23.0762637362637</v>
      </c>
      <c r="J45" s="10" t="n">
        <f aca="false">'Weekly History'!G23</f>
        <v>23.7142857142857</v>
      </c>
      <c r="K45" s="10" t="n">
        <f aca="false">ABS(H45-I45)</f>
        <v>3.15626373626374</v>
      </c>
      <c r="L45" s="10" t="n">
        <f aca="false">ABS(H45-J45)</f>
        <v>3.79428571428571</v>
      </c>
      <c r="N45" s="15" t="s">
        <v>42</v>
      </c>
      <c r="O45" s="15" t="s">
        <v>118</v>
      </c>
      <c r="P45" s="15" t="s">
        <v>81</v>
      </c>
      <c r="Q45" s="16" t="n">
        <f aca="false">SUMIFS('Hourly Usage'!I$4:I$63,'Hourly Usage'!$A$4:$A$63,"Year 3",'Hourly Usage'!$B$4:$B$63,$N45,'Hourly Usage'!$C$4:$C$63,$O45)</f>
        <v>0</v>
      </c>
      <c r="R45" s="16" t="n">
        <f aca="false">$B$5*SUMIFS('Hourly Usage'!I$4:I$63,'Hourly Usage'!$A$4:$A$63,"Year 1",'Hourly Usage'!$B$4:$B$63,$N45,'Hourly Usage'!$C$4:$C$63,$O45)+$B$6*SUMIFS('Hourly Usage'!I$4:I$63,'Hourly Usage'!$A$4:$A$63,"Year 2",'Hourly Usage'!$B$4:$B$63,$N45,'Hourly Usage'!$C$4:$C$63,$O45)</f>
        <v>0</v>
      </c>
      <c r="S45" s="16" t="n">
        <f aca="false">SUMIFS('Hourly Usage'!I$4:I$63,'Hourly Usage'!$A$4:$A$63,"Year 2",'Hourly Usage'!$B$4:$B$63,$N45,'Hourly Usage'!$C$4:$C$63,$O45)</f>
        <v>0</v>
      </c>
      <c r="T45" s="16" t="n">
        <f aca="false">ABS(Q45-R45)</f>
        <v>0</v>
      </c>
      <c r="U45" s="16" t="n">
        <f aca="false">ABS(Q45-S45)</f>
        <v>0</v>
      </c>
      <c r="V45" s="15" t="n">
        <f aca="false">IF(R45&gt;=$B$7-0.000001,1,0)</f>
        <v>0</v>
      </c>
      <c r="W45" s="15" t="n">
        <f aca="false">IF(Q45&gt;=$B$7-0.000001,1,0)</f>
        <v>0</v>
      </c>
      <c r="X45" s="15" t="n">
        <f aca="false">IF(V45=W45,1,0)</f>
        <v>1</v>
      </c>
      <c r="Y45" s="15" t="n">
        <f aca="false">IF(IF(S45&gt;=$B$7-0.000001,1,0)=W45,1,0)</f>
        <v>1</v>
      </c>
    </row>
    <row r="46" customFormat="false" ht="15" hidden="false" customHeight="false" outlineLevel="0" collapsed="false">
      <c r="A46" s="25" t="str">
        <f aca="false">'Weekly History'!A24</f>
        <v>Winter</v>
      </c>
      <c r="B46" s="25" t="str">
        <f aca="false">'Weekly History'!B24</f>
        <v>Winter Wk 10</v>
      </c>
      <c r="C46" s="12" t="n">
        <f aca="false">'Weekly History'!E24</f>
        <v>13</v>
      </c>
      <c r="D46" s="10" t="n">
        <f aca="false">$B$5*'Weekly History'!C24+$B$6*'Weekly History'!D24</f>
        <v>14.4</v>
      </c>
      <c r="E46" s="12" t="n">
        <f aca="false">'Weekly History'!D24</f>
        <v>14</v>
      </c>
      <c r="F46" s="10" t="n">
        <f aca="false">ABS(C46-D46)</f>
        <v>1.4</v>
      </c>
      <c r="G46" s="10" t="n">
        <f aca="false">ABS(C46-E46)</f>
        <v>1</v>
      </c>
      <c r="H46" s="10" t="n">
        <f aca="false">'Weekly History'!H24</f>
        <v>21.58</v>
      </c>
      <c r="I46" s="10" t="n">
        <f aca="false">$B$5*'Weekly History'!F24+$B$6*'Weekly History'!G24</f>
        <v>21.2976923076923</v>
      </c>
      <c r="J46" s="10" t="n">
        <f aca="false">'Weekly History'!G24</f>
        <v>20.75</v>
      </c>
      <c r="K46" s="10" t="n">
        <f aca="false">ABS(H46-I46)</f>
        <v>0.282307692307693</v>
      </c>
      <c r="L46" s="10" t="n">
        <f aca="false">ABS(H46-J46)</f>
        <v>0.830000000000002</v>
      </c>
      <c r="N46" s="15" t="s">
        <v>42</v>
      </c>
      <c r="O46" s="15" t="s">
        <v>118</v>
      </c>
      <c r="P46" s="15" t="s">
        <v>85</v>
      </c>
      <c r="Q46" s="16" t="n">
        <f aca="false">SUMIFS('Hourly Usage'!J$4:J$63,'Hourly Usage'!$A$4:$A$63,"Year 3",'Hourly Usage'!$B$4:$B$63,$N46,'Hourly Usage'!$C$4:$C$63,$O46)</f>
        <v>0</v>
      </c>
      <c r="R46" s="16" t="n">
        <f aca="false">$B$5*SUMIFS('Hourly Usage'!J$4:J$63,'Hourly Usage'!$A$4:$A$63,"Year 1",'Hourly Usage'!$B$4:$B$63,$N46,'Hourly Usage'!$C$4:$C$63,$O46)+$B$6*SUMIFS('Hourly Usage'!J$4:J$63,'Hourly Usage'!$A$4:$A$63,"Year 2",'Hourly Usage'!$B$4:$B$63,$N46,'Hourly Usage'!$C$4:$C$63,$O46)</f>
        <v>0</v>
      </c>
      <c r="S46" s="16" t="n">
        <f aca="false">SUMIFS('Hourly Usage'!J$4:J$63,'Hourly Usage'!$A$4:$A$63,"Year 2",'Hourly Usage'!$B$4:$B$63,$N46,'Hourly Usage'!$C$4:$C$63,$O46)</f>
        <v>0</v>
      </c>
      <c r="T46" s="16" t="n">
        <f aca="false">ABS(Q46-R46)</f>
        <v>0</v>
      </c>
      <c r="U46" s="16" t="n">
        <f aca="false">ABS(Q46-S46)</f>
        <v>0</v>
      </c>
      <c r="V46" s="15" t="n">
        <f aca="false">IF(R46&gt;=$B$7-0.000001,1,0)</f>
        <v>0</v>
      </c>
      <c r="W46" s="15" t="n">
        <f aca="false">IF(Q46&gt;=$B$7-0.000001,1,0)</f>
        <v>0</v>
      </c>
      <c r="X46" s="15" t="n">
        <f aca="false">IF(V46=W46,1,0)</f>
        <v>1</v>
      </c>
      <c r="Y46" s="15" t="n">
        <f aca="false">IF(IF(S46&gt;=$B$7-0.000001,1,0)=W46,1,0)</f>
        <v>1</v>
      </c>
    </row>
    <row r="47" customFormat="false" ht="15" hidden="false" customHeight="false" outlineLevel="0" collapsed="false">
      <c r="A47" s="25" t="str">
        <f aca="false">'Weekly History'!A25</f>
        <v>Winter</v>
      </c>
      <c r="B47" s="25" t="str">
        <f aca="false">'Weekly History'!B25</f>
        <v>Winter Finals</v>
      </c>
      <c r="C47" s="12" t="n">
        <f aca="false">'Weekly History'!E25</f>
        <v>9</v>
      </c>
      <c r="D47" s="10" t="n">
        <f aca="false">$B$5*'Weekly History'!C25+$B$6*'Weekly History'!D25</f>
        <v>7.8</v>
      </c>
      <c r="E47" s="12" t="n">
        <f aca="false">'Weekly History'!D25</f>
        <v>9</v>
      </c>
      <c r="F47" s="10" t="n">
        <f aca="false">ABS(C47-D47)</f>
        <v>1.2</v>
      </c>
      <c r="G47" s="10" t="n">
        <f aca="false">ABS(C47-E47)</f>
        <v>0</v>
      </c>
      <c r="H47" s="10" t="n">
        <f aca="false">'Weekly History'!H25</f>
        <v>14.94</v>
      </c>
      <c r="I47" s="10" t="n">
        <f aca="false">$B$5*'Weekly History'!F25+$B$6*'Weekly History'!G25</f>
        <v>11.5426483516484</v>
      </c>
      <c r="J47" s="10" t="n">
        <f aca="false">'Weekly History'!G25</f>
        <v>13.3392857142857</v>
      </c>
      <c r="K47" s="10" t="n">
        <f aca="false">ABS(H47-I47)</f>
        <v>3.39735164835165</v>
      </c>
      <c r="L47" s="10" t="n">
        <f aca="false">ABS(H47-J47)</f>
        <v>1.60071428571429</v>
      </c>
      <c r="N47" s="15" t="s">
        <v>42</v>
      </c>
      <c r="O47" s="15" t="s">
        <v>118</v>
      </c>
      <c r="P47" s="15" t="s">
        <v>88</v>
      </c>
      <c r="Q47" s="16" t="n">
        <f aca="false">SUMIFS('Hourly Usage'!K$4:K$63,'Hourly Usage'!$A$4:$A$63,"Year 3",'Hourly Usage'!$B$4:$B$63,$N47,'Hourly Usage'!$C$4:$C$63,$O47)</f>
        <v>0.499999999999996</v>
      </c>
      <c r="R47" s="16" t="n">
        <f aca="false">$B$5*SUMIFS('Hourly Usage'!K$4:K$63,'Hourly Usage'!$A$4:$A$63,"Year 1",'Hourly Usage'!$B$4:$B$63,$N47,'Hourly Usage'!$C$4:$C$63,$O47)+$B$6*SUMIFS('Hourly Usage'!K$4:K$63,'Hourly Usage'!$A$4:$A$63,"Year 2",'Hourly Usage'!$B$4:$B$63,$N47,'Hourly Usage'!$C$4:$C$63,$O47)</f>
        <v>0.999999999999999</v>
      </c>
      <c r="S47" s="16" t="n">
        <f aca="false">SUMIFS('Hourly Usage'!K$4:K$63,'Hourly Usage'!$A$4:$A$63,"Year 2",'Hourly Usage'!$B$4:$B$63,$N47,'Hourly Usage'!$C$4:$C$63,$O47)</f>
        <v>0.999999999999999</v>
      </c>
      <c r="T47" s="16" t="n">
        <f aca="false">ABS(Q47-R47)</f>
        <v>0.500000000000004</v>
      </c>
      <c r="U47" s="16" t="n">
        <f aca="false">ABS(Q47-S47)</f>
        <v>0.500000000000004</v>
      </c>
      <c r="V47" s="15" t="n">
        <f aca="false">IF(R47&gt;=$B$7-0.000001,1,0)</f>
        <v>1</v>
      </c>
      <c r="W47" s="15" t="n">
        <f aca="false">IF(Q47&gt;=$B$7-0.000001,1,0)</f>
        <v>1</v>
      </c>
      <c r="X47" s="15" t="n">
        <f aca="false">IF(V47=W47,1,0)</f>
        <v>1</v>
      </c>
      <c r="Y47" s="15" t="n">
        <f aca="false">IF(IF(S47&gt;=$B$7-0.000001,1,0)=W47,1,0)</f>
        <v>1</v>
      </c>
    </row>
    <row r="48" customFormat="false" ht="15" hidden="false" customHeight="false" outlineLevel="0" collapsed="false">
      <c r="A48" s="25" t="str">
        <f aca="false">'Weekly History'!A26</f>
        <v>Spring</v>
      </c>
      <c r="B48" s="25" t="str">
        <f aca="false">'Weekly History'!B26</f>
        <v>Spring Wk 1</v>
      </c>
      <c r="C48" s="12" t="n">
        <f aca="false">'Weekly History'!E26</f>
        <v>11</v>
      </c>
      <c r="D48" s="10" t="n">
        <f aca="false">$B$5*'Weekly History'!C26+$B$6*'Weekly History'!D26</f>
        <v>11.6</v>
      </c>
      <c r="E48" s="12" t="n">
        <f aca="false">'Weekly History'!D26</f>
        <v>12</v>
      </c>
      <c r="F48" s="10" t="n">
        <f aca="false">ABS(C48-D48)</f>
        <v>0.6</v>
      </c>
      <c r="G48" s="10" t="n">
        <f aca="false">ABS(C48-E48)</f>
        <v>1</v>
      </c>
      <c r="H48" s="10" t="n">
        <f aca="false">'Weekly History'!H26</f>
        <v>20.1666666666667</v>
      </c>
      <c r="I48" s="10" t="n">
        <f aca="false">$B$5*'Weekly History'!F26+$B$6*'Weekly History'!G26</f>
        <v>17.4719696969697</v>
      </c>
      <c r="J48" s="10" t="n">
        <f aca="false">'Weekly History'!G26</f>
        <v>18.2727272727273</v>
      </c>
      <c r="K48" s="10" t="n">
        <f aca="false">ABS(H48-I48)</f>
        <v>2.69469696969697</v>
      </c>
      <c r="L48" s="10" t="n">
        <f aca="false">ABS(H48-J48)</f>
        <v>1.89393939393939</v>
      </c>
      <c r="N48" s="15" t="s">
        <v>42</v>
      </c>
      <c r="O48" s="15" t="s">
        <v>118</v>
      </c>
      <c r="P48" s="15" t="s">
        <v>91</v>
      </c>
      <c r="Q48" s="16" t="n">
        <f aca="false">SUMIFS('Hourly Usage'!L$4:L$63,'Hourly Usage'!$A$4:$A$63,"Year 3",'Hourly Usage'!$B$4:$B$63,$N48,'Hourly Usage'!$C$4:$C$63,$O48)</f>
        <v>1</v>
      </c>
      <c r="R48" s="16" t="n">
        <f aca="false">$B$5*SUMIFS('Hourly Usage'!L$4:L$63,'Hourly Usage'!$A$4:$A$63,"Year 1",'Hourly Usage'!$B$4:$B$63,$N48,'Hourly Usage'!$C$4:$C$63,$O48)+$B$6*SUMIFS('Hourly Usage'!L$4:L$63,'Hourly Usage'!$A$4:$A$63,"Year 2",'Hourly Usage'!$B$4:$B$63,$N48,'Hourly Usage'!$C$4:$C$63,$O48)</f>
        <v>1</v>
      </c>
      <c r="S48" s="16" t="n">
        <f aca="false">SUMIFS('Hourly Usage'!L$4:L$63,'Hourly Usage'!$A$4:$A$63,"Year 2",'Hourly Usage'!$B$4:$B$63,$N48,'Hourly Usage'!$C$4:$C$63,$O48)</f>
        <v>1</v>
      </c>
      <c r="T48" s="16" t="n">
        <f aca="false">ABS(Q48-R48)</f>
        <v>0</v>
      </c>
      <c r="U48" s="16" t="n">
        <f aca="false">ABS(Q48-S48)</f>
        <v>0</v>
      </c>
      <c r="V48" s="15" t="n">
        <f aca="false">IF(R48&gt;=$B$7-0.000001,1,0)</f>
        <v>1</v>
      </c>
      <c r="W48" s="15" t="n">
        <f aca="false">IF(Q48&gt;=$B$7-0.000001,1,0)</f>
        <v>1</v>
      </c>
      <c r="X48" s="15" t="n">
        <f aca="false">IF(V48=W48,1,0)</f>
        <v>1</v>
      </c>
      <c r="Y48" s="15" t="n">
        <f aca="false">IF(IF(S48&gt;=$B$7-0.000001,1,0)=W48,1,0)</f>
        <v>1</v>
      </c>
    </row>
    <row r="49" customFormat="false" ht="15" hidden="false" customHeight="false" outlineLevel="0" collapsed="false">
      <c r="A49" s="25" t="str">
        <f aca="false">'Weekly History'!A27</f>
        <v>Spring</v>
      </c>
      <c r="B49" s="25" t="str">
        <f aca="false">'Weekly History'!B27</f>
        <v>Spring Wk 2</v>
      </c>
      <c r="C49" s="12" t="n">
        <f aca="false">'Weekly History'!E27</f>
        <v>8</v>
      </c>
      <c r="D49" s="10" t="n">
        <f aca="false">$B$5*'Weekly History'!C27+$B$6*'Weekly History'!D27</f>
        <v>11.8</v>
      </c>
      <c r="E49" s="12" t="n">
        <f aca="false">'Weekly History'!D27</f>
        <v>13</v>
      </c>
      <c r="F49" s="10" t="n">
        <f aca="false">ABS(C49-D49)</f>
        <v>3.8</v>
      </c>
      <c r="G49" s="10" t="n">
        <f aca="false">ABS(C49-E49)</f>
        <v>5</v>
      </c>
      <c r="H49" s="10" t="n">
        <f aca="false">'Weekly History'!H27</f>
        <v>14.6666666666667</v>
      </c>
      <c r="I49" s="10" t="n">
        <f aca="false">$B$5*'Weekly History'!F27+$B$6*'Weekly History'!G27</f>
        <v>17.7939393939394</v>
      </c>
      <c r="J49" s="10" t="n">
        <f aca="false">'Weekly History'!G27</f>
        <v>19.7954545454545</v>
      </c>
      <c r="K49" s="10" t="n">
        <f aca="false">ABS(H49-I49)</f>
        <v>3.12727272727273</v>
      </c>
      <c r="L49" s="10" t="n">
        <f aca="false">ABS(H49-J49)</f>
        <v>5.12878787878788</v>
      </c>
      <c r="N49" s="15" t="s">
        <v>43</v>
      </c>
      <c r="O49" s="15" t="s">
        <v>70</v>
      </c>
      <c r="P49" s="15" t="s">
        <v>71</v>
      </c>
      <c r="Q49" s="16" t="n">
        <f aca="false">SUMIFS('Hourly Usage'!D$4:D$63,'Hourly Usage'!$A$4:$A$63,"Year 3",'Hourly Usage'!$B$4:$B$63,$N49,'Hourly Usage'!$C$4:$C$63,$O49)</f>
        <v>0</v>
      </c>
      <c r="R49" s="16" t="n">
        <f aca="false">$B$5*SUMIFS('Hourly Usage'!D$4:D$63,'Hourly Usage'!$A$4:$A$63,"Year 1",'Hourly Usage'!$B$4:$B$63,$N49,'Hourly Usage'!$C$4:$C$63,$O49)+$B$6*SUMIFS('Hourly Usage'!D$4:D$63,'Hourly Usage'!$A$4:$A$63,"Year 2",'Hourly Usage'!$B$4:$B$63,$N49,'Hourly Usage'!$C$4:$C$63,$O49)</f>
        <v>0</v>
      </c>
      <c r="S49" s="16" t="n">
        <f aca="false">SUMIFS('Hourly Usage'!D$4:D$63,'Hourly Usage'!$A$4:$A$63,"Year 2",'Hourly Usage'!$B$4:$B$63,$N49,'Hourly Usage'!$C$4:$C$63,$O49)</f>
        <v>0</v>
      </c>
      <c r="T49" s="16" t="n">
        <f aca="false">ABS(Q49-R49)</f>
        <v>0</v>
      </c>
      <c r="U49" s="16" t="n">
        <f aca="false">ABS(Q49-S49)</f>
        <v>0</v>
      </c>
      <c r="V49" s="15" t="n">
        <f aca="false">IF(R49&gt;=$B$7-0.000001,1,0)</f>
        <v>0</v>
      </c>
      <c r="W49" s="15" t="n">
        <f aca="false">IF(Q49&gt;=$B$7-0.000001,1,0)</f>
        <v>0</v>
      </c>
      <c r="X49" s="15" t="n">
        <f aca="false">IF(V49=W49,1,0)</f>
        <v>1</v>
      </c>
      <c r="Y49" s="15" t="n">
        <f aca="false">IF(IF(S49&gt;=$B$7-0.000001,1,0)=W49,1,0)</f>
        <v>1</v>
      </c>
    </row>
    <row r="50" customFormat="false" ht="15" hidden="false" customHeight="false" outlineLevel="0" collapsed="false">
      <c r="A50" s="25" t="str">
        <f aca="false">'Weekly History'!A28</f>
        <v>Spring</v>
      </c>
      <c r="B50" s="25" t="str">
        <f aca="false">'Weekly History'!B28</f>
        <v>Spring Wk 3</v>
      </c>
      <c r="C50" s="12" t="n">
        <f aca="false">'Weekly History'!E28</f>
        <v>12</v>
      </c>
      <c r="D50" s="10" t="n">
        <f aca="false">$B$5*'Weekly History'!C28+$B$6*'Weekly History'!D28</f>
        <v>11.8</v>
      </c>
      <c r="E50" s="12" t="n">
        <f aca="false">'Weekly History'!D28</f>
        <v>11</v>
      </c>
      <c r="F50" s="10" t="n">
        <f aca="false">ABS(C50-D50)</f>
        <v>0.199999999999999</v>
      </c>
      <c r="G50" s="10" t="n">
        <f aca="false">ABS(C50-E50)</f>
        <v>1</v>
      </c>
      <c r="H50" s="10" t="n">
        <f aca="false">'Weekly History'!H28</f>
        <v>22</v>
      </c>
      <c r="I50" s="10" t="n">
        <f aca="false">$B$5*'Weekly History'!F28+$B$6*'Weekly History'!G28</f>
        <v>17.7416666666667</v>
      </c>
      <c r="J50" s="10" t="n">
        <f aca="false">'Weekly History'!G28</f>
        <v>16.75</v>
      </c>
      <c r="K50" s="10" t="n">
        <f aca="false">ABS(H50-I50)</f>
        <v>4.25833333333333</v>
      </c>
      <c r="L50" s="10" t="n">
        <f aca="false">ABS(H50-J50)</f>
        <v>5.25</v>
      </c>
      <c r="N50" s="15" t="s">
        <v>43</v>
      </c>
      <c r="O50" s="15" t="s">
        <v>70</v>
      </c>
      <c r="P50" s="15" t="s">
        <v>74</v>
      </c>
      <c r="Q50" s="16" t="n">
        <f aca="false">SUMIFS('Hourly Usage'!E$4:E$63,'Hourly Usage'!$A$4:$A$63,"Year 3",'Hourly Usage'!$B$4:$B$63,$N50,'Hourly Usage'!$C$4:$C$63,$O50)</f>
        <v>1</v>
      </c>
      <c r="R50" s="16" t="n">
        <f aca="false">$B$5*SUMIFS('Hourly Usage'!E$4:E$63,'Hourly Usage'!$A$4:$A$63,"Year 1",'Hourly Usage'!$B$4:$B$63,$N50,'Hourly Usage'!$C$4:$C$63,$O50)+$B$6*SUMIFS('Hourly Usage'!E$4:E$63,'Hourly Usage'!$A$4:$A$63,"Year 2",'Hourly Usage'!$B$4:$B$63,$N50,'Hourly Usage'!$C$4:$C$63,$O50)</f>
        <v>0</v>
      </c>
      <c r="S50" s="16" t="n">
        <f aca="false">SUMIFS('Hourly Usage'!E$4:E$63,'Hourly Usage'!$A$4:$A$63,"Year 2",'Hourly Usage'!$B$4:$B$63,$N50,'Hourly Usage'!$C$4:$C$63,$O50)</f>
        <v>0</v>
      </c>
      <c r="T50" s="16" t="n">
        <f aca="false">ABS(Q50-R50)</f>
        <v>1</v>
      </c>
      <c r="U50" s="16" t="n">
        <f aca="false">ABS(Q50-S50)</f>
        <v>1</v>
      </c>
      <c r="V50" s="15" t="n">
        <f aca="false">IF(R50&gt;=$B$7-0.000001,1,0)</f>
        <v>0</v>
      </c>
      <c r="W50" s="15" t="n">
        <f aca="false">IF(Q50&gt;=$B$7-0.000001,1,0)</f>
        <v>1</v>
      </c>
      <c r="X50" s="15" t="n">
        <f aca="false">IF(V50=W50,1,0)</f>
        <v>0</v>
      </c>
      <c r="Y50" s="15" t="n">
        <f aca="false">IF(IF(S50&gt;=$B$7-0.000001,1,0)=W50,1,0)</f>
        <v>0</v>
      </c>
    </row>
    <row r="51" customFormat="false" ht="15" hidden="false" customHeight="false" outlineLevel="0" collapsed="false">
      <c r="A51" s="25" t="str">
        <f aca="false">'Weekly History'!A29</f>
        <v>Spring</v>
      </c>
      <c r="B51" s="25" t="str">
        <f aca="false">'Weekly History'!B29</f>
        <v>Spring Wk 4</v>
      </c>
      <c r="C51" s="12" t="n">
        <f aca="false">'Weekly History'!E29</f>
        <v>11</v>
      </c>
      <c r="D51" s="10" t="n">
        <f aca="false">$B$5*'Weekly History'!C29+$B$6*'Weekly History'!D29</f>
        <v>11.8</v>
      </c>
      <c r="E51" s="12" t="n">
        <f aca="false">'Weekly History'!D29</f>
        <v>13</v>
      </c>
      <c r="F51" s="10" t="n">
        <f aca="false">ABS(C51-D51)</f>
        <v>0.800000000000001</v>
      </c>
      <c r="G51" s="10" t="n">
        <f aca="false">ABS(C51-E51)</f>
        <v>2</v>
      </c>
      <c r="H51" s="10" t="n">
        <f aca="false">'Weekly History'!H29</f>
        <v>20.1666666666667</v>
      </c>
      <c r="I51" s="10" t="n">
        <f aca="false">$B$5*'Weekly History'!F29+$B$6*'Weekly History'!G29</f>
        <v>17.7939393939394</v>
      </c>
      <c r="J51" s="10" t="n">
        <f aca="false">'Weekly History'!G29</f>
        <v>19.7954545454545</v>
      </c>
      <c r="K51" s="10" t="n">
        <f aca="false">ABS(H51-I51)</f>
        <v>2.37272727272727</v>
      </c>
      <c r="L51" s="10" t="n">
        <f aca="false">ABS(H51-J51)</f>
        <v>0.371212121212118</v>
      </c>
      <c r="N51" s="15" t="s">
        <v>43</v>
      </c>
      <c r="O51" s="15" t="s">
        <v>70</v>
      </c>
      <c r="P51" s="15" t="s">
        <v>76</v>
      </c>
      <c r="Q51" s="16" t="n">
        <f aca="false">SUMIFS('Hourly Usage'!F$4:F$63,'Hourly Usage'!$A$4:$A$63,"Year 3",'Hourly Usage'!$B$4:$B$63,$N51,'Hourly Usage'!$C$4:$C$63,$O51)</f>
        <v>0.499999999999998</v>
      </c>
      <c r="R51" s="16" t="n">
        <f aca="false">$B$5*SUMIFS('Hourly Usage'!F$4:F$63,'Hourly Usage'!$A$4:$A$63,"Year 1",'Hourly Usage'!$B$4:$B$63,$N51,'Hourly Usage'!$C$4:$C$63,$O51)+$B$6*SUMIFS('Hourly Usage'!F$4:F$63,'Hourly Usage'!$A$4:$A$63,"Year 2",'Hourly Usage'!$B$4:$B$63,$N51,'Hourly Usage'!$C$4:$C$63,$O51)</f>
        <v>0</v>
      </c>
      <c r="S51" s="16" t="n">
        <f aca="false">SUMIFS('Hourly Usage'!F$4:F$63,'Hourly Usage'!$A$4:$A$63,"Year 2",'Hourly Usage'!$B$4:$B$63,$N51,'Hourly Usage'!$C$4:$C$63,$O51)</f>
        <v>0</v>
      </c>
      <c r="T51" s="16" t="n">
        <f aca="false">ABS(Q51-R51)</f>
        <v>0.499999999999998</v>
      </c>
      <c r="U51" s="16" t="n">
        <f aca="false">ABS(Q51-S51)</f>
        <v>0.499999999999998</v>
      </c>
      <c r="V51" s="15" t="n">
        <f aca="false">IF(R51&gt;=$B$7-0.000001,1,0)</f>
        <v>0</v>
      </c>
      <c r="W51" s="15" t="n">
        <f aca="false">IF(Q51&gt;=$B$7-0.000001,1,0)</f>
        <v>1</v>
      </c>
      <c r="X51" s="15" t="n">
        <f aca="false">IF(V51=W51,1,0)</f>
        <v>0</v>
      </c>
      <c r="Y51" s="15" t="n">
        <f aca="false">IF(IF(S51&gt;=$B$7-0.000001,1,0)=W51,1,0)</f>
        <v>0</v>
      </c>
    </row>
    <row r="52" customFormat="false" ht="15" hidden="false" customHeight="false" outlineLevel="0" collapsed="false">
      <c r="A52" s="25" t="str">
        <f aca="false">'Weekly History'!A30</f>
        <v>Spring</v>
      </c>
      <c r="B52" s="25" t="str">
        <f aca="false">'Weekly History'!B30</f>
        <v>Spring Wk 5</v>
      </c>
      <c r="C52" s="12" t="n">
        <f aca="false">'Weekly History'!E30</f>
        <v>12</v>
      </c>
      <c r="D52" s="10" t="n">
        <f aca="false">$B$5*'Weekly History'!C30+$B$6*'Weekly History'!D30</f>
        <v>11.4</v>
      </c>
      <c r="E52" s="12" t="n">
        <f aca="false">'Weekly History'!D30</f>
        <v>11</v>
      </c>
      <c r="F52" s="10" t="n">
        <f aca="false">ABS(C52-D52)</f>
        <v>0.6</v>
      </c>
      <c r="G52" s="10" t="n">
        <f aca="false">ABS(C52-E52)</f>
        <v>1</v>
      </c>
      <c r="H52" s="10" t="n">
        <f aca="false">'Weekly History'!H30</f>
        <v>22</v>
      </c>
      <c r="I52" s="10" t="n">
        <f aca="false">$B$5*'Weekly History'!F30+$B$6*'Weekly History'!G30</f>
        <v>17.15</v>
      </c>
      <c r="J52" s="10" t="n">
        <f aca="false">'Weekly History'!G30</f>
        <v>16.75</v>
      </c>
      <c r="K52" s="10" t="n">
        <f aca="false">ABS(H52-I52)</f>
        <v>4.85</v>
      </c>
      <c r="L52" s="10" t="n">
        <f aca="false">ABS(H52-J52)</f>
        <v>5.25</v>
      </c>
      <c r="N52" s="15" t="s">
        <v>43</v>
      </c>
      <c r="O52" s="15" t="s">
        <v>70</v>
      </c>
      <c r="P52" s="15" t="s">
        <v>78</v>
      </c>
      <c r="Q52" s="16" t="n">
        <f aca="false">SUMIFS('Hourly Usage'!G$4:G$63,'Hourly Usage'!$A$4:$A$63,"Year 3",'Hourly Usage'!$B$4:$B$63,$N52,'Hourly Usage'!$C$4:$C$63,$O52)</f>
        <v>0.25</v>
      </c>
      <c r="R52" s="16" t="n">
        <f aca="false">$B$5*SUMIFS('Hourly Usage'!G$4:G$63,'Hourly Usage'!$A$4:$A$63,"Year 1",'Hourly Usage'!$B$4:$B$63,$N52,'Hourly Usage'!$C$4:$C$63,$O52)+$B$6*SUMIFS('Hourly Usage'!G$4:G$63,'Hourly Usage'!$A$4:$A$63,"Year 2",'Hourly Usage'!$B$4:$B$63,$N52,'Hourly Usage'!$C$4:$C$63,$O52)</f>
        <v>0</v>
      </c>
      <c r="S52" s="16" t="n">
        <f aca="false">SUMIFS('Hourly Usage'!G$4:G$63,'Hourly Usage'!$A$4:$A$63,"Year 2",'Hourly Usage'!$B$4:$B$63,$N52,'Hourly Usage'!$C$4:$C$63,$O52)</f>
        <v>0</v>
      </c>
      <c r="T52" s="16" t="n">
        <f aca="false">ABS(Q52-R52)</f>
        <v>0.25</v>
      </c>
      <c r="U52" s="16" t="n">
        <f aca="false">ABS(Q52-S52)</f>
        <v>0.25</v>
      </c>
      <c r="V52" s="15" t="n">
        <f aca="false">IF(R52&gt;=$B$7-0.000001,1,0)</f>
        <v>0</v>
      </c>
      <c r="W52" s="15" t="n">
        <f aca="false">IF(Q52&gt;=$B$7-0.000001,1,0)</f>
        <v>0</v>
      </c>
      <c r="X52" s="15" t="n">
        <f aca="false">IF(V52=W52,1,0)</f>
        <v>1</v>
      </c>
      <c r="Y52" s="15" t="n">
        <f aca="false">IF(IF(S52&gt;=$B$7-0.000001,1,0)=W52,1,0)</f>
        <v>1</v>
      </c>
    </row>
    <row r="53" customFormat="false" ht="15" hidden="false" customHeight="false" outlineLevel="0" collapsed="false">
      <c r="A53" s="25" t="str">
        <f aca="false">'Weekly History'!A31</f>
        <v>Spring</v>
      </c>
      <c r="B53" s="25" t="str">
        <f aca="false">'Weekly History'!B31</f>
        <v>Spring Wk 6</v>
      </c>
      <c r="C53" s="12" t="n">
        <f aca="false">'Weekly History'!E31</f>
        <v>11</v>
      </c>
      <c r="D53" s="10" t="n">
        <f aca="false">$B$5*'Weekly History'!C31+$B$6*'Weekly History'!D31</f>
        <v>12.6</v>
      </c>
      <c r="E53" s="12" t="n">
        <f aca="false">'Weekly History'!D31</f>
        <v>13</v>
      </c>
      <c r="F53" s="10" t="n">
        <f aca="false">ABS(C53-D53)</f>
        <v>1.6</v>
      </c>
      <c r="G53" s="10" t="n">
        <f aca="false">ABS(C53-E53)</f>
        <v>2</v>
      </c>
      <c r="H53" s="10" t="n">
        <f aca="false">'Weekly History'!H31</f>
        <v>20.1666666666667</v>
      </c>
      <c r="I53" s="10" t="n">
        <f aca="false">$B$5*'Weekly History'!F31+$B$6*'Weekly History'!G31</f>
        <v>18.9772727272727</v>
      </c>
      <c r="J53" s="10" t="n">
        <f aca="false">'Weekly History'!G31</f>
        <v>19.7954545454545</v>
      </c>
      <c r="K53" s="10" t="n">
        <f aca="false">ABS(H53-I53)</f>
        <v>1.18939393939394</v>
      </c>
      <c r="L53" s="10" t="n">
        <f aca="false">ABS(H53-J53)</f>
        <v>0.371212121212118</v>
      </c>
      <c r="N53" s="15" t="s">
        <v>43</v>
      </c>
      <c r="O53" s="15" t="s">
        <v>70</v>
      </c>
      <c r="P53" s="15" t="s">
        <v>79</v>
      </c>
      <c r="Q53" s="16" t="n">
        <f aca="false">SUMIFS('Hourly Usage'!H$4:H$63,'Hourly Usage'!$A$4:$A$63,"Year 3",'Hourly Usage'!$B$4:$B$63,$N53,'Hourly Usage'!$C$4:$C$63,$O53)</f>
        <v>0.999999999999996</v>
      </c>
      <c r="R53" s="16" t="n">
        <f aca="false">$B$5*SUMIFS('Hourly Usage'!H$4:H$63,'Hourly Usage'!$A$4:$A$63,"Year 1",'Hourly Usage'!$B$4:$B$63,$N53,'Hourly Usage'!$C$4:$C$63,$O53)+$B$6*SUMIFS('Hourly Usage'!H$4:H$63,'Hourly Usage'!$A$4:$A$63,"Year 2",'Hourly Usage'!$B$4:$B$63,$N53,'Hourly Usage'!$C$4:$C$63,$O53)</f>
        <v>0.599999999999999</v>
      </c>
      <c r="S53" s="16" t="n">
        <f aca="false">SUMIFS('Hourly Usage'!H$4:H$63,'Hourly Usage'!$A$4:$A$63,"Year 2",'Hourly Usage'!$B$4:$B$63,$N53,'Hourly Usage'!$C$4:$C$63,$O53)</f>
        <v>0.999999999999999</v>
      </c>
      <c r="T53" s="16" t="n">
        <f aca="false">ABS(Q53-R53)</f>
        <v>0.399999999999997</v>
      </c>
      <c r="U53" s="16" t="n">
        <f aca="false">ABS(Q53-S53)</f>
        <v>0</v>
      </c>
      <c r="V53" s="15" t="n">
        <f aca="false">IF(R53&gt;=$B$7-0.000001,1,0)</f>
        <v>1</v>
      </c>
      <c r="W53" s="15" t="n">
        <f aca="false">IF(Q53&gt;=$B$7-0.000001,1,0)</f>
        <v>1</v>
      </c>
      <c r="X53" s="15" t="n">
        <f aca="false">IF(V53=W53,1,0)</f>
        <v>1</v>
      </c>
      <c r="Y53" s="15" t="n">
        <f aca="false">IF(IF(S53&gt;=$B$7-0.000001,1,0)=W53,1,0)</f>
        <v>1</v>
      </c>
    </row>
    <row r="54" customFormat="false" ht="15" hidden="false" customHeight="false" outlineLevel="0" collapsed="false">
      <c r="A54" s="25" t="str">
        <f aca="false">'Weekly History'!A32</f>
        <v>Spring</v>
      </c>
      <c r="B54" s="25" t="str">
        <f aca="false">'Weekly History'!B32</f>
        <v>Spring Wk 7</v>
      </c>
      <c r="C54" s="12" t="n">
        <f aca="false">'Weekly History'!E32</f>
        <v>16</v>
      </c>
      <c r="D54" s="10" t="n">
        <f aca="false">$B$5*'Weekly History'!C32+$B$6*'Weekly History'!D32</f>
        <v>11.2</v>
      </c>
      <c r="E54" s="12" t="n">
        <f aca="false">'Weekly History'!D32</f>
        <v>12</v>
      </c>
      <c r="F54" s="10" t="n">
        <f aca="false">ABS(C54-D54)</f>
        <v>4.8</v>
      </c>
      <c r="G54" s="10" t="n">
        <f aca="false">ABS(C54-E54)</f>
        <v>4</v>
      </c>
      <c r="H54" s="10" t="n">
        <f aca="false">'Weekly History'!H32</f>
        <v>29.3333333333333</v>
      </c>
      <c r="I54" s="10" t="n">
        <f aca="false">$B$5*'Weekly History'!F32+$B$6*'Weekly History'!G32</f>
        <v>16.880303030303</v>
      </c>
      <c r="J54" s="10" t="n">
        <f aca="false">'Weekly History'!G32</f>
        <v>18.2727272727273</v>
      </c>
      <c r="K54" s="10" t="n">
        <f aca="false">ABS(H54-I54)</f>
        <v>12.4530303030303</v>
      </c>
      <c r="L54" s="10" t="n">
        <f aca="false">ABS(H54-J54)</f>
        <v>11.0606060606061</v>
      </c>
      <c r="N54" s="15" t="s">
        <v>43</v>
      </c>
      <c r="O54" s="15" t="s">
        <v>70</v>
      </c>
      <c r="P54" s="15" t="s">
        <v>81</v>
      </c>
      <c r="Q54" s="16" t="n">
        <f aca="false">SUMIFS('Hourly Usage'!I$4:I$63,'Hourly Usage'!$A$4:$A$63,"Year 3",'Hourly Usage'!$B$4:$B$63,$N54,'Hourly Usage'!$C$4:$C$63,$O54)</f>
        <v>0.500000000000001</v>
      </c>
      <c r="R54" s="16" t="n">
        <f aca="false">$B$5*SUMIFS('Hourly Usage'!I$4:I$63,'Hourly Usage'!$A$4:$A$63,"Year 1",'Hourly Usage'!$B$4:$B$63,$N54,'Hourly Usage'!$C$4:$C$63,$O54)+$B$6*SUMIFS('Hourly Usage'!I$4:I$63,'Hourly Usage'!$A$4:$A$63,"Year 2",'Hourly Usage'!$B$4:$B$63,$N54,'Hourly Usage'!$C$4:$C$63,$O54)</f>
        <v>0.499999999999998</v>
      </c>
      <c r="S54" s="16" t="n">
        <f aca="false">SUMIFS('Hourly Usage'!I$4:I$63,'Hourly Usage'!$A$4:$A$63,"Year 2",'Hourly Usage'!$B$4:$B$63,$N54,'Hourly Usage'!$C$4:$C$63,$O54)</f>
        <v>0.499999999999998</v>
      </c>
      <c r="T54" s="16" t="n">
        <f aca="false">ABS(Q54-R54)</f>
        <v>2.66453525910038E-015</v>
      </c>
      <c r="U54" s="16" t="n">
        <f aca="false">ABS(Q54-S54)</f>
        <v>2.66453525910038E-015</v>
      </c>
      <c r="V54" s="15" t="n">
        <f aca="false">IF(R54&gt;=$B$7-0.000001,1,0)</f>
        <v>1</v>
      </c>
      <c r="W54" s="15" t="n">
        <f aca="false">IF(Q54&gt;=$B$7-0.000001,1,0)</f>
        <v>1</v>
      </c>
      <c r="X54" s="15" t="n">
        <f aca="false">IF(V54=W54,1,0)</f>
        <v>1</v>
      </c>
      <c r="Y54" s="15" t="n">
        <f aca="false">IF(IF(S54&gt;=$B$7-0.000001,1,0)=W54,1,0)</f>
        <v>1</v>
      </c>
    </row>
    <row r="55" customFormat="false" ht="15" hidden="false" customHeight="false" outlineLevel="0" collapsed="false">
      <c r="A55" s="25" t="str">
        <f aca="false">'Weekly History'!A33</f>
        <v>Spring</v>
      </c>
      <c r="B55" s="25" t="str">
        <f aca="false">'Weekly History'!B33</f>
        <v>Spring Wk 8</v>
      </c>
      <c r="C55" s="12" t="n">
        <f aca="false">'Weekly History'!E33</f>
        <v>11</v>
      </c>
      <c r="D55" s="10" t="n">
        <f aca="false">$B$5*'Weekly History'!C33+$B$6*'Weekly History'!D33</f>
        <v>13.2</v>
      </c>
      <c r="E55" s="12" t="n">
        <f aca="false">'Weekly History'!D33</f>
        <v>12</v>
      </c>
      <c r="F55" s="10" t="n">
        <f aca="false">ABS(C55-D55)</f>
        <v>2.2</v>
      </c>
      <c r="G55" s="10" t="n">
        <f aca="false">ABS(C55-E55)</f>
        <v>1</v>
      </c>
      <c r="H55" s="10" t="n">
        <f aca="false">'Weekly History'!H33</f>
        <v>20.1666666666667</v>
      </c>
      <c r="I55" s="10" t="n">
        <f aca="false">$B$5*'Weekly History'!F33+$B$6*'Weekly History'!G33</f>
        <v>19.8386363636364</v>
      </c>
      <c r="J55" s="10" t="n">
        <f aca="false">'Weekly History'!G33</f>
        <v>18.2727272727273</v>
      </c>
      <c r="K55" s="10" t="n">
        <f aca="false">ABS(H55-I55)</f>
        <v>0.328030303030303</v>
      </c>
      <c r="L55" s="10" t="n">
        <f aca="false">ABS(H55-J55)</f>
        <v>1.89393939393939</v>
      </c>
      <c r="N55" s="15" t="s">
        <v>43</v>
      </c>
      <c r="O55" s="15" t="s">
        <v>70</v>
      </c>
      <c r="P55" s="15" t="s">
        <v>85</v>
      </c>
      <c r="Q55" s="16" t="n">
        <f aca="false">SUMIFS('Hourly Usage'!J$4:J$63,'Hourly Usage'!$A$4:$A$63,"Year 3",'Hourly Usage'!$B$4:$B$63,$N55,'Hourly Usage'!$C$4:$C$63,$O55)</f>
        <v>0</v>
      </c>
      <c r="R55" s="16" t="n">
        <f aca="false">$B$5*SUMIFS('Hourly Usage'!J$4:J$63,'Hourly Usage'!$A$4:$A$63,"Year 1",'Hourly Usage'!$B$4:$B$63,$N55,'Hourly Usage'!$C$4:$C$63,$O55)+$B$6*SUMIFS('Hourly Usage'!J$4:J$63,'Hourly Usage'!$A$4:$A$63,"Year 2",'Hourly Usage'!$B$4:$B$63,$N55,'Hourly Usage'!$C$4:$C$63,$O55)</f>
        <v>0.83333333333333</v>
      </c>
      <c r="S55" s="16" t="n">
        <f aca="false">SUMIFS('Hourly Usage'!J$4:J$63,'Hourly Usage'!$A$4:$A$63,"Year 2",'Hourly Usage'!$B$4:$B$63,$N55,'Hourly Usage'!$C$4:$C$63,$O55)</f>
        <v>0.83333333333333</v>
      </c>
      <c r="T55" s="16" t="n">
        <f aca="false">ABS(Q55-R55)</f>
        <v>0.83333333333333</v>
      </c>
      <c r="U55" s="16" t="n">
        <f aca="false">ABS(Q55-S55)</f>
        <v>0.83333333333333</v>
      </c>
      <c r="V55" s="15" t="n">
        <f aca="false">IF(R55&gt;=$B$7-0.000001,1,0)</f>
        <v>1</v>
      </c>
      <c r="W55" s="15" t="n">
        <f aca="false">IF(Q55&gt;=$B$7-0.000001,1,0)</f>
        <v>0</v>
      </c>
      <c r="X55" s="15" t="n">
        <f aca="false">IF(V55=W55,1,0)</f>
        <v>0</v>
      </c>
      <c r="Y55" s="15" t="n">
        <f aca="false">IF(IF(S55&gt;=$B$7-0.000001,1,0)=W55,1,0)</f>
        <v>0</v>
      </c>
    </row>
    <row r="56" customFormat="false" ht="15" hidden="false" customHeight="false" outlineLevel="0" collapsed="false">
      <c r="A56" s="25" t="str">
        <f aca="false">'Weekly History'!A34</f>
        <v>Spring</v>
      </c>
      <c r="B56" s="25" t="str">
        <f aca="false">'Weekly History'!B34</f>
        <v>Spring Wk 9</v>
      </c>
      <c r="C56" s="12" t="n">
        <f aca="false">'Weekly History'!E34</f>
        <v>12</v>
      </c>
      <c r="D56" s="10" t="n">
        <f aca="false">$B$5*'Weekly History'!C34+$B$6*'Weekly History'!D34</f>
        <v>10.8</v>
      </c>
      <c r="E56" s="12" t="n">
        <f aca="false">'Weekly History'!D34</f>
        <v>8</v>
      </c>
      <c r="F56" s="10" t="n">
        <f aca="false">ABS(C56-D56)</f>
        <v>1.2</v>
      </c>
      <c r="G56" s="10" t="n">
        <f aca="false">ABS(C56-E56)</f>
        <v>4</v>
      </c>
      <c r="H56" s="10" t="n">
        <f aca="false">'Weekly History'!H34</f>
        <v>22</v>
      </c>
      <c r="I56" s="10" t="n">
        <f aca="false">$B$5*'Weekly History'!F34+$B$6*'Weekly History'!G34</f>
        <v>16.1840909090909</v>
      </c>
      <c r="J56" s="10" t="n">
        <f aca="false">'Weekly History'!G34</f>
        <v>12.1818181818182</v>
      </c>
      <c r="K56" s="10" t="n">
        <f aca="false">ABS(H56-I56)</f>
        <v>5.81590909090909</v>
      </c>
      <c r="L56" s="10" t="n">
        <f aca="false">ABS(H56-J56)</f>
        <v>9.81818181818182</v>
      </c>
      <c r="N56" s="15" t="s">
        <v>43</v>
      </c>
      <c r="O56" s="15" t="s">
        <v>70</v>
      </c>
      <c r="P56" s="15" t="s">
        <v>88</v>
      </c>
      <c r="Q56" s="16" t="n">
        <f aca="false">SUMIFS('Hourly Usage'!K$4:K$63,'Hourly Usage'!$A$4:$A$63,"Year 3",'Hourly Usage'!$B$4:$B$63,$N56,'Hourly Usage'!$C$4:$C$63,$O56)</f>
        <v>0.499999999999996</v>
      </c>
      <c r="R56" s="16" t="n">
        <f aca="false">$B$5*SUMIFS('Hourly Usage'!K$4:K$63,'Hourly Usage'!$A$4:$A$63,"Year 1",'Hourly Usage'!$B$4:$B$63,$N56,'Hourly Usage'!$C$4:$C$63,$O56)+$B$6*SUMIFS('Hourly Usage'!K$4:K$63,'Hourly Usage'!$A$4:$A$63,"Year 2",'Hourly Usage'!$B$4:$B$63,$N56,'Hourly Usage'!$C$4:$C$63,$O56)</f>
        <v>0.499999999999996</v>
      </c>
      <c r="S56" s="16" t="n">
        <f aca="false">SUMIFS('Hourly Usage'!K$4:K$63,'Hourly Usage'!$A$4:$A$63,"Year 2",'Hourly Usage'!$B$4:$B$63,$N56,'Hourly Usage'!$C$4:$C$63,$O56)</f>
        <v>0.499999999999996</v>
      </c>
      <c r="T56" s="16" t="n">
        <f aca="false">ABS(Q56-R56)</f>
        <v>0</v>
      </c>
      <c r="U56" s="16" t="n">
        <f aca="false">ABS(Q56-S56)</f>
        <v>0</v>
      </c>
      <c r="V56" s="15" t="n">
        <f aca="false">IF(R56&gt;=$B$7-0.000001,1,0)</f>
        <v>1</v>
      </c>
      <c r="W56" s="15" t="n">
        <f aca="false">IF(Q56&gt;=$B$7-0.000001,1,0)</f>
        <v>1</v>
      </c>
      <c r="X56" s="15" t="n">
        <f aca="false">IF(V56=W56,1,0)</f>
        <v>1</v>
      </c>
      <c r="Y56" s="15" t="n">
        <f aca="false">IF(IF(S56&gt;=$B$7-0.000001,1,0)=W56,1,0)</f>
        <v>1</v>
      </c>
    </row>
    <row r="57" customFormat="false" ht="15" hidden="false" customHeight="false" outlineLevel="0" collapsed="false">
      <c r="A57" s="25" t="str">
        <f aca="false">'Weekly History'!A35</f>
        <v>Spring</v>
      </c>
      <c r="B57" s="25" t="str">
        <f aca="false">'Weekly History'!B35</f>
        <v>Spring Wk 10</v>
      </c>
      <c r="C57" s="12" t="n">
        <f aca="false">'Weekly History'!E35</f>
        <v>10</v>
      </c>
      <c r="D57" s="10" t="n">
        <f aca="false">$B$5*'Weekly History'!C35+$B$6*'Weekly History'!D35</f>
        <v>15.2</v>
      </c>
      <c r="E57" s="12" t="n">
        <f aca="false">'Weekly History'!D35</f>
        <v>16</v>
      </c>
      <c r="F57" s="10" t="n">
        <f aca="false">ABS(C57-D57)</f>
        <v>5.2</v>
      </c>
      <c r="G57" s="10" t="n">
        <f aca="false">ABS(C57-E57)</f>
        <v>6</v>
      </c>
      <c r="H57" s="10" t="n">
        <f aca="false">'Weekly History'!H35</f>
        <v>18.3333333333333</v>
      </c>
      <c r="I57" s="10" t="n">
        <f aca="false">$B$5*'Weekly History'!F35+$B$6*'Weekly History'!G35</f>
        <v>22.9015151515152</v>
      </c>
      <c r="J57" s="10" t="n">
        <f aca="false">'Weekly History'!G35</f>
        <v>24.3636363636364</v>
      </c>
      <c r="K57" s="10" t="n">
        <f aca="false">ABS(H57-I57)</f>
        <v>4.56818181818182</v>
      </c>
      <c r="L57" s="10" t="n">
        <f aca="false">ABS(H57-J57)</f>
        <v>6.03030303030303</v>
      </c>
      <c r="N57" s="15" t="s">
        <v>43</v>
      </c>
      <c r="O57" s="15" t="s">
        <v>70</v>
      </c>
      <c r="P57" s="15" t="s">
        <v>91</v>
      </c>
      <c r="Q57" s="16" t="n">
        <f aca="false">SUMIFS('Hourly Usage'!L$4:L$63,'Hourly Usage'!$A$4:$A$63,"Year 3",'Hourly Usage'!$B$4:$B$63,$N57,'Hourly Usage'!$C$4:$C$63,$O57)</f>
        <v>1</v>
      </c>
      <c r="R57" s="16" t="n">
        <f aca="false">$B$5*SUMIFS('Hourly Usage'!L$4:L$63,'Hourly Usage'!$A$4:$A$63,"Year 1",'Hourly Usage'!$B$4:$B$63,$N57,'Hourly Usage'!$C$4:$C$63,$O57)+$B$6*SUMIFS('Hourly Usage'!L$4:L$63,'Hourly Usage'!$A$4:$A$63,"Year 2",'Hourly Usage'!$B$4:$B$63,$N57,'Hourly Usage'!$C$4:$C$63,$O57)</f>
        <v>1</v>
      </c>
      <c r="S57" s="16" t="n">
        <f aca="false">SUMIFS('Hourly Usage'!L$4:L$63,'Hourly Usage'!$A$4:$A$63,"Year 2",'Hourly Usage'!$B$4:$B$63,$N57,'Hourly Usage'!$C$4:$C$63,$O57)</f>
        <v>1</v>
      </c>
      <c r="T57" s="16" t="n">
        <f aca="false">ABS(Q57-R57)</f>
        <v>0</v>
      </c>
      <c r="U57" s="16" t="n">
        <f aca="false">ABS(Q57-S57)</f>
        <v>0</v>
      </c>
      <c r="V57" s="15" t="n">
        <f aca="false">IF(R57&gt;=$B$7-0.000001,1,0)</f>
        <v>1</v>
      </c>
      <c r="W57" s="15" t="n">
        <f aca="false">IF(Q57&gt;=$B$7-0.000001,1,0)</f>
        <v>1</v>
      </c>
      <c r="X57" s="15" t="n">
        <f aca="false">IF(V57=W57,1,0)</f>
        <v>1</v>
      </c>
      <c r="Y57" s="15" t="n">
        <f aca="false">IF(IF(S57&gt;=$B$7-0.000001,1,0)=W57,1,0)</f>
        <v>1</v>
      </c>
    </row>
    <row r="58" customFormat="false" ht="15" hidden="false" customHeight="false" outlineLevel="0" collapsed="false">
      <c r="A58" s="25" t="str">
        <f aca="false">'Weekly History'!A36</f>
        <v>Spring</v>
      </c>
      <c r="B58" s="25" t="str">
        <f aca="false">'Weekly History'!B36</f>
        <v>Spring Finals</v>
      </c>
      <c r="C58" s="12" t="n">
        <f aca="false">'Weekly History'!E36</f>
        <v>7</v>
      </c>
      <c r="D58" s="10" t="n">
        <f aca="false">$B$5*'Weekly History'!C36+$B$6*'Weekly History'!D36</f>
        <v>7</v>
      </c>
      <c r="E58" s="12" t="n">
        <f aca="false">'Weekly History'!D36</f>
        <v>7</v>
      </c>
      <c r="F58" s="10" t="n">
        <f aca="false">ABS(C58-D58)</f>
        <v>0</v>
      </c>
      <c r="G58" s="10" t="n">
        <f aca="false">ABS(C58-E58)</f>
        <v>0</v>
      </c>
      <c r="H58" s="10" t="n">
        <f aca="false">'Weekly History'!H36</f>
        <v>12.8333333333333</v>
      </c>
      <c r="I58" s="10" t="n">
        <f aca="false">$B$5*'Weekly History'!F36+$B$6*'Weekly History'!G36</f>
        <v>10.5371212121212</v>
      </c>
      <c r="J58" s="10" t="n">
        <f aca="false">'Weekly History'!G36</f>
        <v>10.6590909090909</v>
      </c>
      <c r="K58" s="10" t="n">
        <f aca="false">ABS(H58-I58)</f>
        <v>2.29621212121212</v>
      </c>
      <c r="L58" s="10" t="n">
        <f aca="false">ABS(H58-J58)</f>
        <v>2.17424242424242</v>
      </c>
      <c r="N58" s="15" t="s">
        <v>43</v>
      </c>
      <c r="O58" s="15" t="s">
        <v>94</v>
      </c>
      <c r="P58" s="15" t="s">
        <v>71</v>
      </c>
      <c r="Q58" s="16" t="n">
        <f aca="false">SUMIFS('Hourly Usage'!D$4:D$63,'Hourly Usage'!$A$4:$A$63,"Year 3",'Hourly Usage'!$B$4:$B$63,$N58,'Hourly Usage'!$C$4:$C$63,$O58)</f>
        <v>0</v>
      </c>
      <c r="R58" s="16" t="n">
        <f aca="false">$B$5*SUMIFS('Hourly Usage'!D$4:D$63,'Hourly Usage'!$A$4:$A$63,"Year 1",'Hourly Usage'!$B$4:$B$63,$N58,'Hourly Usage'!$C$4:$C$63,$O58)+$B$6*SUMIFS('Hourly Usage'!D$4:D$63,'Hourly Usage'!$A$4:$A$63,"Year 2",'Hourly Usage'!$B$4:$B$63,$N58,'Hourly Usage'!$C$4:$C$63,$O58)</f>
        <v>0</v>
      </c>
      <c r="S58" s="16" t="n">
        <f aca="false">SUMIFS('Hourly Usage'!D$4:D$63,'Hourly Usage'!$A$4:$A$63,"Year 2",'Hourly Usage'!$B$4:$B$63,$N58,'Hourly Usage'!$C$4:$C$63,$O58)</f>
        <v>0</v>
      </c>
      <c r="T58" s="16" t="n">
        <f aca="false">ABS(Q58-R58)</f>
        <v>0</v>
      </c>
      <c r="U58" s="16" t="n">
        <f aca="false">ABS(Q58-S58)</f>
        <v>0</v>
      </c>
      <c r="V58" s="15" t="n">
        <f aca="false">IF(R58&gt;=$B$7-0.000001,1,0)</f>
        <v>0</v>
      </c>
      <c r="W58" s="15" t="n">
        <f aca="false">IF(Q58&gt;=$B$7-0.000001,1,0)</f>
        <v>0</v>
      </c>
      <c r="X58" s="15" t="n">
        <f aca="false">IF(V58=W58,1,0)</f>
        <v>1</v>
      </c>
      <c r="Y58" s="15" t="n">
        <f aca="false">IF(IF(S58&gt;=$B$7-0.000001,1,0)=W58,1,0)</f>
        <v>1</v>
      </c>
    </row>
    <row r="59" customFormat="false" ht="15" hidden="false" customHeight="false" outlineLevel="0" collapsed="false">
      <c r="A59" s="25" t="str">
        <f aca="false">'Weekly History'!A37</f>
        <v>Summer</v>
      </c>
      <c r="B59" s="25" t="str">
        <f aca="false">'Weekly History'!B37</f>
        <v>Summer Wk 1</v>
      </c>
      <c r="C59" s="12" t="n">
        <f aca="false">'Weekly History'!E37</f>
        <v>3</v>
      </c>
      <c r="D59" s="10" t="n">
        <f aca="false">$B$5*'Weekly History'!C37+$B$6*'Weekly History'!D37</f>
        <v>6.8</v>
      </c>
      <c r="E59" s="12" t="n">
        <f aca="false">'Weekly History'!D37</f>
        <v>8</v>
      </c>
      <c r="F59" s="10" t="n">
        <f aca="false">ABS(C59-D59)</f>
        <v>3.8</v>
      </c>
      <c r="G59" s="10" t="n">
        <f aca="false">ABS(C59-E59)</f>
        <v>5</v>
      </c>
      <c r="H59" s="10" t="n">
        <f aca="false">'Weekly History'!H37</f>
        <v>5.4</v>
      </c>
      <c r="I59" s="10" t="n">
        <f aca="false">$B$5*'Weekly History'!F37+$B$6*'Weekly History'!G37</f>
        <v>12.24</v>
      </c>
      <c r="J59" s="10" t="n">
        <f aca="false">'Weekly History'!G37</f>
        <v>14.4</v>
      </c>
      <c r="K59" s="10" t="n">
        <f aca="false">ABS(H59-I59)</f>
        <v>6.84</v>
      </c>
      <c r="L59" s="10" t="n">
        <f aca="false">ABS(H59-J59)</f>
        <v>9</v>
      </c>
      <c r="N59" s="15" t="s">
        <v>43</v>
      </c>
      <c r="O59" s="15" t="s">
        <v>94</v>
      </c>
      <c r="P59" s="15" t="s">
        <v>74</v>
      </c>
      <c r="Q59" s="16" t="n">
        <f aca="false">SUMIFS('Hourly Usage'!E$4:E$63,'Hourly Usage'!$A$4:$A$63,"Year 3",'Hourly Usage'!$B$4:$B$63,$N59,'Hourly Usage'!$C$4:$C$63,$O59)</f>
        <v>0</v>
      </c>
      <c r="R59" s="16" t="n">
        <f aca="false">$B$5*SUMIFS('Hourly Usage'!E$4:E$63,'Hourly Usage'!$A$4:$A$63,"Year 1",'Hourly Usage'!$B$4:$B$63,$N59,'Hourly Usage'!$C$4:$C$63,$O59)+$B$6*SUMIFS('Hourly Usage'!E$4:E$63,'Hourly Usage'!$A$4:$A$63,"Year 2",'Hourly Usage'!$B$4:$B$63,$N59,'Hourly Usage'!$C$4:$C$63,$O59)</f>
        <v>0</v>
      </c>
      <c r="S59" s="16" t="n">
        <f aca="false">SUMIFS('Hourly Usage'!E$4:E$63,'Hourly Usage'!$A$4:$A$63,"Year 2",'Hourly Usage'!$B$4:$B$63,$N59,'Hourly Usage'!$C$4:$C$63,$O59)</f>
        <v>0</v>
      </c>
      <c r="T59" s="16" t="n">
        <f aca="false">ABS(Q59-R59)</f>
        <v>0</v>
      </c>
      <c r="U59" s="16" t="n">
        <f aca="false">ABS(Q59-S59)</f>
        <v>0</v>
      </c>
      <c r="V59" s="15" t="n">
        <f aca="false">IF(R59&gt;=$B$7-0.000001,1,0)</f>
        <v>0</v>
      </c>
      <c r="W59" s="15" t="n">
        <f aca="false">IF(Q59&gt;=$B$7-0.000001,1,0)</f>
        <v>0</v>
      </c>
      <c r="X59" s="15" t="n">
        <f aca="false">IF(V59=W59,1,0)</f>
        <v>1</v>
      </c>
      <c r="Y59" s="15" t="n">
        <f aca="false">IF(IF(S59&gt;=$B$7-0.000001,1,0)=W59,1,0)</f>
        <v>1</v>
      </c>
    </row>
    <row r="60" customFormat="false" ht="15" hidden="false" customHeight="false" outlineLevel="0" collapsed="false">
      <c r="A60" s="25" t="str">
        <f aca="false">'Weekly History'!A38</f>
        <v>Summer</v>
      </c>
      <c r="B60" s="25" t="str">
        <f aca="false">'Weekly History'!B38</f>
        <v>Summer Wk 2</v>
      </c>
      <c r="C60" s="12" t="n">
        <f aca="false">'Weekly History'!E38</f>
        <v>5</v>
      </c>
      <c r="D60" s="10" t="n">
        <f aca="false">$B$5*'Weekly History'!C38+$B$6*'Weekly History'!D38</f>
        <v>7.4</v>
      </c>
      <c r="E60" s="12" t="n">
        <f aca="false">'Weekly History'!D38</f>
        <v>9</v>
      </c>
      <c r="F60" s="10" t="n">
        <f aca="false">ABS(C60-D60)</f>
        <v>2.4</v>
      </c>
      <c r="G60" s="10" t="n">
        <f aca="false">ABS(C60-E60)</f>
        <v>4</v>
      </c>
      <c r="H60" s="10" t="n">
        <f aca="false">'Weekly History'!H38</f>
        <v>9</v>
      </c>
      <c r="I60" s="10" t="n">
        <f aca="false">$B$5*'Weekly History'!F38+$B$6*'Weekly History'!G38</f>
        <v>13.32</v>
      </c>
      <c r="J60" s="10" t="n">
        <f aca="false">'Weekly History'!G38</f>
        <v>16.2</v>
      </c>
      <c r="K60" s="10" t="n">
        <f aca="false">ABS(H60-I60)</f>
        <v>4.32</v>
      </c>
      <c r="L60" s="10" t="n">
        <f aca="false">ABS(H60-J60)</f>
        <v>7.2</v>
      </c>
      <c r="N60" s="15" t="s">
        <v>43</v>
      </c>
      <c r="O60" s="15" t="s">
        <v>94</v>
      </c>
      <c r="P60" s="15" t="s">
        <v>76</v>
      </c>
      <c r="Q60" s="16" t="n">
        <f aca="false">SUMIFS('Hourly Usage'!F$4:F$63,'Hourly Usage'!$A$4:$A$63,"Year 3",'Hourly Usage'!$B$4:$B$63,$N60,'Hourly Usage'!$C$4:$C$63,$O60)</f>
        <v>0</v>
      </c>
      <c r="R60" s="16" t="n">
        <f aca="false">$B$5*SUMIFS('Hourly Usage'!F$4:F$63,'Hourly Usage'!$A$4:$A$63,"Year 1",'Hourly Usage'!$B$4:$B$63,$N60,'Hourly Usage'!$C$4:$C$63,$O60)+$B$6*SUMIFS('Hourly Usage'!F$4:F$63,'Hourly Usage'!$A$4:$A$63,"Year 2",'Hourly Usage'!$B$4:$B$63,$N60,'Hourly Usage'!$C$4:$C$63,$O60)</f>
        <v>0</v>
      </c>
      <c r="S60" s="16" t="n">
        <f aca="false">SUMIFS('Hourly Usage'!F$4:F$63,'Hourly Usage'!$A$4:$A$63,"Year 2",'Hourly Usage'!$B$4:$B$63,$N60,'Hourly Usage'!$C$4:$C$63,$O60)</f>
        <v>0</v>
      </c>
      <c r="T60" s="16" t="n">
        <f aca="false">ABS(Q60-R60)</f>
        <v>0</v>
      </c>
      <c r="U60" s="16" t="n">
        <f aca="false">ABS(Q60-S60)</f>
        <v>0</v>
      </c>
      <c r="V60" s="15" t="n">
        <f aca="false">IF(R60&gt;=$B$7-0.000001,1,0)</f>
        <v>0</v>
      </c>
      <c r="W60" s="15" t="n">
        <f aca="false">IF(Q60&gt;=$B$7-0.000001,1,0)</f>
        <v>0</v>
      </c>
      <c r="X60" s="15" t="n">
        <f aca="false">IF(V60=W60,1,0)</f>
        <v>1</v>
      </c>
      <c r="Y60" s="15" t="n">
        <f aca="false">IF(IF(S60&gt;=$B$7-0.000001,1,0)=W60,1,0)</f>
        <v>1</v>
      </c>
    </row>
    <row r="61" customFormat="false" ht="15" hidden="false" customHeight="false" outlineLevel="0" collapsed="false">
      <c r="A61" s="25" t="str">
        <f aca="false">'Weekly History'!A39</f>
        <v>Summer</v>
      </c>
      <c r="B61" s="25" t="str">
        <f aca="false">'Weekly History'!B39</f>
        <v>Summer Wk 3</v>
      </c>
      <c r="C61" s="12" t="n">
        <f aca="false">'Weekly History'!E39</f>
        <v>4</v>
      </c>
      <c r="D61" s="10" t="n">
        <f aca="false">$B$5*'Weekly History'!C39+$B$6*'Weekly History'!D39</f>
        <v>7.8</v>
      </c>
      <c r="E61" s="12" t="n">
        <f aca="false">'Weekly History'!D39</f>
        <v>9</v>
      </c>
      <c r="F61" s="10" t="n">
        <f aca="false">ABS(C61-D61)</f>
        <v>3.8</v>
      </c>
      <c r="G61" s="10" t="n">
        <f aca="false">ABS(C61-E61)</f>
        <v>5</v>
      </c>
      <c r="H61" s="10" t="n">
        <f aca="false">'Weekly History'!H39</f>
        <v>7.2</v>
      </c>
      <c r="I61" s="10" t="n">
        <f aca="false">$B$5*'Weekly History'!F39+$B$6*'Weekly History'!G39</f>
        <v>14.04</v>
      </c>
      <c r="J61" s="10" t="n">
        <f aca="false">'Weekly History'!G39</f>
        <v>16.2</v>
      </c>
      <c r="K61" s="10" t="n">
        <f aca="false">ABS(H61-I61)</f>
        <v>6.84</v>
      </c>
      <c r="L61" s="10" t="n">
        <f aca="false">ABS(H61-J61)</f>
        <v>9</v>
      </c>
      <c r="N61" s="15" t="s">
        <v>43</v>
      </c>
      <c r="O61" s="15" t="s">
        <v>94</v>
      </c>
      <c r="P61" s="15" t="s">
        <v>78</v>
      </c>
      <c r="Q61" s="16" t="n">
        <f aca="false">SUMIFS('Hourly Usage'!G$4:G$63,'Hourly Usage'!$A$4:$A$63,"Year 3",'Hourly Usage'!$B$4:$B$63,$N61,'Hourly Usage'!$C$4:$C$63,$O61)</f>
        <v>0.499999999999998</v>
      </c>
      <c r="R61" s="16" t="n">
        <f aca="false">$B$5*SUMIFS('Hourly Usage'!G$4:G$63,'Hourly Usage'!$A$4:$A$63,"Year 1",'Hourly Usage'!$B$4:$B$63,$N61,'Hourly Usage'!$C$4:$C$63,$O61)+$B$6*SUMIFS('Hourly Usage'!G$4:G$63,'Hourly Usage'!$A$4:$A$63,"Year 2",'Hourly Usage'!$B$4:$B$63,$N61,'Hourly Usage'!$C$4:$C$63,$O61)</f>
        <v>0.599999999999999</v>
      </c>
      <c r="S61" s="16" t="n">
        <f aca="false">SUMIFS('Hourly Usage'!G$4:G$63,'Hourly Usage'!$A$4:$A$63,"Year 2",'Hourly Usage'!$B$4:$B$63,$N61,'Hourly Usage'!$C$4:$C$63,$O61)</f>
        <v>0.999999999999999</v>
      </c>
      <c r="T61" s="16" t="n">
        <f aca="false">ABS(Q61-R61)</f>
        <v>0.100000000000001</v>
      </c>
      <c r="U61" s="16" t="n">
        <f aca="false">ABS(Q61-S61)</f>
        <v>0.500000000000001</v>
      </c>
      <c r="V61" s="15" t="n">
        <f aca="false">IF(R61&gt;=$B$7-0.000001,1,0)</f>
        <v>1</v>
      </c>
      <c r="W61" s="15" t="n">
        <f aca="false">IF(Q61&gt;=$B$7-0.000001,1,0)</f>
        <v>1</v>
      </c>
      <c r="X61" s="15" t="n">
        <f aca="false">IF(V61=W61,1,0)</f>
        <v>1</v>
      </c>
      <c r="Y61" s="15" t="n">
        <f aca="false">IF(IF(S61&gt;=$B$7-0.000001,1,0)=W61,1,0)</f>
        <v>1</v>
      </c>
    </row>
    <row r="62" customFormat="false" ht="15" hidden="false" customHeight="false" outlineLevel="0" collapsed="false">
      <c r="A62" s="25" t="str">
        <f aca="false">'Weekly History'!A40</f>
        <v>Summer</v>
      </c>
      <c r="B62" s="25" t="str">
        <f aca="false">'Weekly History'!B40</f>
        <v>Summer Wk 4</v>
      </c>
      <c r="C62" s="12" t="n">
        <f aca="false">'Weekly History'!E40</f>
        <v>5</v>
      </c>
      <c r="D62" s="10" t="n">
        <f aca="false">$B$5*'Weekly History'!C40+$B$6*'Weekly History'!D40</f>
        <v>8</v>
      </c>
      <c r="E62" s="12" t="n">
        <f aca="false">'Weekly History'!D40</f>
        <v>10</v>
      </c>
      <c r="F62" s="10" t="n">
        <f aca="false">ABS(C62-D62)</f>
        <v>3</v>
      </c>
      <c r="G62" s="10" t="n">
        <f aca="false">ABS(C62-E62)</f>
        <v>5</v>
      </c>
      <c r="H62" s="10" t="n">
        <f aca="false">'Weekly History'!H40</f>
        <v>9</v>
      </c>
      <c r="I62" s="10" t="n">
        <f aca="false">$B$5*'Weekly History'!F40+$B$6*'Weekly History'!G40</f>
        <v>14.4</v>
      </c>
      <c r="J62" s="10" t="n">
        <f aca="false">'Weekly History'!G40</f>
        <v>18</v>
      </c>
      <c r="K62" s="10" t="n">
        <f aca="false">ABS(H62-I62)</f>
        <v>5.4</v>
      </c>
      <c r="L62" s="10" t="n">
        <f aca="false">ABS(H62-J62)</f>
        <v>9</v>
      </c>
      <c r="N62" s="15" t="s">
        <v>43</v>
      </c>
      <c r="O62" s="15" t="s">
        <v>94</v>
      </c>
      <c r="P62" s="15" t="s">
        <v>79</v>
      </c>
      <c r="Q62" s="16" t="n">
        <f aca="false">SUMIFS('Hourly Usage'!H$4:H$63,'Hourly Usage'!$A$4:$A$63,"Year 3",'Hourly Usage'!$B$4:$B$63,$N62,'Hourly Usage'!$C$4:$C$63,$O62)</f>
        <v>0.999999999999999</v>
      </c>
      <c r="R62" s="16" t="n">
        <f aca="false">$B$5*SUMIFS('Hourly Usage'!H$4:H$63,'Hourly Usage'!$A$4:$A$63,"Year 1",'Hourly Usage'!$B$4:$B$63,$N62,'Hourly Usage'!$C$4:$C$63,$O62)+$B$6*SUMIFS('Hourly Usage'!H$4:H$63,'Hourly Usage'!$A$4:$A$63,"Year 2",'Hourly Usage'!$B$4:$B$63,$N62,'Hourly Usage'!$C$4:$C$63,$O62)</f>
        <v>1</v>
      </c>
      <c r="S62" s="16" t="n">
        <f aca="false">SUMIFS('Hourly Usage'!H$4:H$63,'Hourly Usage'!$A$4:$A$63,"Year 2",'Hourly Usage'!$B$4:$B$63,$N62,'Hourly Usage'!$C$4:$C$63,$O62)</f>
        <v>1</v>
      </c>
      <c r="T62" s="16" t="n">
        <f aca="false">ABS(Q62-R62)</f>
        <v>0</v>
      </c>
      <c r="U62" s="16" t="n">
        <f aca="false">ABS(Q62-S62)</f>
        <v>0</v>
      </c>
      <c r="V62" s="15" t="n">
        <f aca="false">IF(R62&gt;=$B$7-0.000001,1,0)</f>
        <v>1</v>
      </c>
      <c r="W62" s="15" t="n">
        <f aca="false">IF(Q62&gt;=$B$7-0.000001,1,0)</f>
        <v>1</v>
      </c>
      <c r="X62" s="15" t="n">
        <f aca="false">IF(V62=W62,1,0)</f>
        <v>1</v>
      </c>
      <c r="Y62" s="15" t="n">
        <f aca="false">IF(IF(S62&gt;=$B$7-0.000001,1,0)=W62,1,0)</f>
        <v>1</v>
      </c>
    </row>
    <row r="63" customFormat="false" ht="15" hidden="false" customHeight="false" outlineLevel="0" collapsed="false">
      <c r="A63" s="25" t="str">
        <f aca="false">'Weekly History'!A41</f>
        <v>Summer</v>
      </c>
      <c r="B63" s="25" t="str">
        <f aca="false">'Weekly History'!B41</f>
        <v>Summer Wk 5</v>
      </c>
      <c r="C63" s="12" t="n">
        <f aca="false">'Weekly History'!E41</f>
        <v>4</v>
      </c>
      <c r="D63" s="10" t="n">
        <f aca="false">$B$5*'Weekly History'!C41+$B$6*'Weekly History'!D41</f>
        <v>9</v>
      </c>
      <c r="E63" s="12" t="n">
        <f aca="false">'Weekly History'!D41</f>
        <v>11</v>
      </c>
      <c r="F63" s="10" t="n">
        <f aca="false">ABS(C63-D63)</f>
        <v>5</v>
      </c>
      <c r="G63" s="10" t="n">
        <f aca="false">ABS(C63-E63)</f>
        <v>7</v>
      </c>
      <c r="H63" s="10" t="n">
        <f aca="false">'Weekly History'!H41</f>
        <v>7.2</v>
      </c>
      <c r="I63" s="10" t="n">
        <f aca="false">$B$5*'Weekly History'!F41+$B$6*'Weekly History'!G41</f>
        <v>16.2</v>
      </c>
      <c r="J63" s="10" t="n">
        <f aca="false">'Weekly History'!G41</f>
        <v>19.8</v>
      </c>
      <c r="K63" s="10" t="n">
        <f aca="false">ABS(H63-I63)</f>
        <v>9</v>
      </c>
      <c r="L63" s="10" t="n">
        <f aca="false">ABS(H63-J63)</f>
        <v>12.6</v>
      </c>
      <c r="N63" s="15" t="s">
        <v>43</v>
      </c>
      <c r="O63" s="15" t="s">
        <v>94</v>
      </c>
      <c r="P63" s="15" t="s">
        <v>81</v>
      </c>
      <c r="Q63" s="16" t="n">
        <f aca="false">SUMIFS('Hourly Usage'!I$4:I$63,'Hourly Usage'!$A$4:$A$63,"Year 3",'Hourly Usage'!$B$4:$B$63,$N63,'Hourly Usage'!$C$4:$C$63,$O63)</f>
        <v>1</v>
      </c>
      <c r="R63" s="16" t="n">
        <f aca="false">$B$5*SUMIFS('Hourly Usage'!I$4:I$63,'Hourly Usage'!$A$4:$A$63,"Year 1",'Hourly Usage'!$B$4:$B$63,$N63,'Hourly Usage'!$C$4:$C$63,$O63)+$B$6*SUMIFS('Hourly Usage'!I$4:I$63,'Hourly Usage'!$A$4:$A$63,"Year 2",'Hourly Usage'!$B$4:$B$63,$N63,'Hourly Usage'!$C$4:$C$63,$O63)</f>
        <v>1</v>
      </c>
      <c r="S63" s="16" t="n">
        <f aca="false">SUMIFS('Hourly Usage'!I$4:I$63,'Hourly Usage'!$A$4:$A$63,"Year 2",'Hourly Usage'!$B$4:$B$63,$N63,'Hourly Usage'!$C$4:$C$63,$O63)</f>
        <v>1</v>
      </c>
      <c r="T63" s="16" t="n">
        <f aca="false">ABS(Q63-R63)</f>
        <v>0</v>
      </c>
      <c r="U63" s="16" t="n">
        <f aca="false">ABS(Q63-S63)</f>
        <v>0</v>
      </c>
      <c r="V63" s="15" t="n">
        <f aca="false">IF(R63&gt;=$B$7-0.000001,1,0)</f>
        <v>1</v>
      </c>
      <c r="W63" s="15" t="n">
        <f aca="false">IF(Q63&gt;=$B$7-0.000001,1,0)</f>
        <v>1</v>
      </c>
      <c r="X63" s="15" t="n">
        <f aca="false">IF(V63=W63,1,0)</f>
        <v>1</v>
      </c>
      <c r="Y63" s="15" t="n">
        <f aca="false">IF(IF(S63&gt;=$B$7-0.000001,1,0)=W63,1,0)</f>
        <v>1</v>
      </c>
    </row>
    <row r="64" customFormat="false" ht="15" hidden="false" customHeight="false" outlineLevel="0" collapsed="false">
      <c r="A64" s="25" t="str">
        <f aca="false">'Weekly History'!A42</f>
        <v>Summer</v>
      </c>
      <c r="B64" s="25" t="str">
        <f aca="false">'Weekly History'!B42</f>
        <v>Summer Wk 6</v>
      </c>
      <c r="C64" s="12" t="n">
        <f aca="false">'Weekly History'!E42</f>
        <v>4</v>
      </c>
      <c r="D64" s="10" t="n">
        <f aca="false">$B$5*'Weekly History'!C42+$B$6*'Weekly History'!D42</f>
        <v>8</v>
      </c>
      <c r="E64" s="12" t="n">
        <f aca="false">'Weekly History'!D42</f>
        <v>10</v>
      </c>
      <c r="F64" s="10" t="n">
        <f aca="false">ABS(C64-D64)</f>
        <v>4</v>
      </c>
      <c r="G64" s="10" t="n">
        <f aca="false">ABS(C64-E64)</f>
        <v>6</v>
      </c>
      <c r="H64" s="10" t="n">
        <f aca="false">'Weekly History'!H42</f>
        <v>7.2</v>
      </c>
      <c r="I64" s="10" t="n">
        <f aca="false">$B$5*'Weekly History'!F42+$B$6*'Weekly History'!G42</f>
        <v>14.4</v>
      </c>
      <c r="J64" s="10" t="n">
        <f aca="false">'Weekly History'!G42</f>
        <v>18</v>
      </c>
      <c r="K64" s="10" t="n">
        <f aca="false">ABS(H64-I64)</f>
        <v>7.2</v>
      </c>
      <c r="L64" s="10" t="n">
        <f aca="false">ABS(H64-J64)</f>
        <v>10.8</v>
      </c>
      <c r="N64" s="15" t="s">
        <v>43</v>
      </c>
      <c r="O64" s="15" t="s">
        <v>94</v>
      </c>
      <c r="P64" s="15" t="s">
        <v>85</v>
      </c>
      <c r="Q64" s="16" t="n">
        <f aca="false">SUMIFS('Hourly Usage'!J$4:J$63,'Hourly Usage'!$A$4:$A$63,"Year 3",'Hourly Usage'!$B$4:$B$63,$N64,'Hourly Usage'!$C$4:$C$63,$O64)</f>
        <v>0.999999999999999</v>
      </c>
      <c r="R64" s="16" t="n">
        <f aca="false">$B$5*SUMIFS('Hourly Usage'!J$4:J$63,'Hourly Usage'!$A$4:$A$63,"Year 1",'Hourly Usage'!$B$4:$B$63,$N64,'Hourly Usage'!$C$4:$C$63,$O64)+$B$6*SUMIFS('Hourly Usage'!J$4:J$63,'Hourly Usage'!$A$4:$A$63,"Year 2",'Hourly Usage'!$B$4:$B$63,$N64,'Hourly Usage'!$C$4:$C$63,$O64)</f>
        <v>0.599999999999999</v>
      </c>
      <c r="S64" s="16" t="n">
        <f aca="false">SUMIFS('Hourly Usage'!J$4:J$63,'Hourly Usage'!$A$4:$A$63,"Year 2",'Hourly Usage'!$B$4:$B$63,$N64,'Hourly Usage'!$C$4:$C$63,$O64)</f>
        <v>0.999999999999999</v>
      </c>
      <c r="T64" s="16" t="n">
        <f aca="false">ABS(Q64-R64)</f>
        <v>0.4</v>
      </c>
      <c r="U64" s="16" t="n">
        <f aca="false">ABS(Q64-S64)</f>
        <v>0</v>
      </c>
      <c r="V64" s="15" t="n">
        <f aca="false">IF(R64&gt;=$B$7-0.000001,1,0)</f>
        <v>1</v>
      </c>
      <c r="W64" s="15" t="n">
        <f aca="false">IF(Q64&gt;=$B$7-0.000001,1,0)</f>
        <v>1</v>
      </c>
      <c r="X64" s="15" t="n">
        <f aca="false">IF(V64=W64,1,0)</f>
        <v>1</v>
      </c>
      <c r="Y64" s="15" t="n">
        <f aca="false">IF(IF(S64&gt;=$B$7-0.000001,1,0)=W64,1,0)</f>
        <v>1</v>
      </c>
    </row>
    <row r="65" customFormat="false" ht="15" hidden="false" customHeight="false" outlineLevel="0" collapsed="false">
      <c r="A65" s="25" t="str">
        <f aca="false">'Weekly History'!A43</f>
        <v>Summer</v>
      </c>
      <c r="B65" s="25" t="str">
        <f aca="false">'Weekly History'!B43</f>
        <v>Summer Wk 7</v>
      </c>
      <c r="C65" s="12" t="n">
        <f aca="false">'Weekly History'!E43</f>
        <v>5</v>
      </c>
      <c r="D65" s="10" t="n">
        <f aca="false">$B$5*'Weekly History'!C43+$B$6*'Weekly History'!D43</f>
        <v>9</v>
      </c>
      <c r="E65" s="12" t="n">
        <f aca="false">'Weekly History'!D43</f>
        <v>11</v>
      </c>
      <c r="F65" s="10" t="n">
        <f aca="false">ABS(C65-D65)</f>
        <v>4</v>
      </c>
      <c r="G65" s="10" t="n">
        <f aca="false">ABS(C65-E65)</f>
        <v>6</v>
      </c>
      <c r="H65" s="10" t="n">
        <f aca="false">'Weekly History'!H43</f>
        <v>9</v>
      </c>
      <c r="I65" s="10" t="n">
        <f aca="false">$B$5*'Weekly History'!F43+$B$6*'Weekly History'!G43</f>
        <v>16.2</v>
      </c>
      <c r="J65" s="10" t="n">
        <f aca="false">'Weekly History'!G43</f>
        <v>19.8</v>
      </c>
      <c r="K65" s="10" t="n">
        <f aca="false">ABS(H65-I65)</f>
        <v>7.2</v>
      </c>
      <c r="L65" s="10" t="n">
        <f aca="false">ABS(H65-J65)</f>
        <v>10.8</v>
      </c>
      <c r="N65" s="15" t="s">
        <v>43</v>
      </c>
      <c r="O65" s="15" t="s">
        <v>94</v>
      </c>
      <c r="P65" s="15" t="s">
        <v>88</v>
      </c>
      <c r="Q65" s="16" t="n">
        <f aca="false">SUMIFS('Hourly Usage'!K$4:K$63,'Hourly Usage'!$A$4:$A$63,"Year 3",'Hourly Usage'!$B$4:$B$63,$N65,'Hourly Usage'!$C$4:$C$63,$O65)</f>
        <v>0.500000000000001</v>
      </c>
      <c r="R65" s="16" t="n">
        <f aca="false">$B$5*SUMIFS('Hourly Usage'!K$4:K$63,'Hourly Usage'!$A$4:$A$63,"Year 1",'Hourly Usage'!$B$4:$B$63,$N65,'Hourly Usage'!$C$4:$C$63,$O65)+$B$6*SUMIFS('Hourly Usage'!K$4:K$63,'Hourly Usage'!$A$4:$A$63,"Year 2",'Hourly Usage'!$B$4:$B$63,$N65,'Hourly Usage'!$C$4:$C$63,$O65)</f>
        <v>0.999999999999998</v>
      </c>
      <c r="S65" s="16" t="n">
        <f aca="false">SUMIFS('Hourly Usage'!K$4:K$63,'Hourly Usage'!$A$4:$A$63,"Year 2",'Hourly Usage'!$B$4:$B$63,$N65,'Hourly Usage'!$C$4:$C$63,$O65)</f>
        <v>0.999999999999999</v>
      </c>
      <c r="T65" s="16" t="n">
        <f aca="false">ABS(Q65-R65)</f>
        <v>0.499999999999997</v>
      </c>
      <c r="U65" s="16" t="n">
        <f aca="false">ABS(Q65-S65)</f>
        <v>0.499999999999998</v>
      </c>
      <c r="V65" s="15" t="n">
        <f aca="false">IF(R65&gt;=$B$7-0.000001,1,0)</f>
        <v>1</v>
      </c>
      <c r="W65" s="15" t="n">
        <f aca="false">IF(Q65&gt;=$B$7-0.000001,1,0)</f>
        <v>1</v>
      </c>
      <c r="X65" s="15" t="n">
        <f aca="false">IF(V65=W65,1,0)</f>
        <v>1</v>
      </c>
      <c r="Y65" s="15" t="n">
        <f aca="false">IF(IF(S65&gt;=$B$7-0.000001,1,0)=W65,1,0)</f>
        <v>1</v>
      </c>
    </row>
    <row r="66" customFormat="false" ht="15" hidden="false" customHeight="false" outlineLevel="0" collapsed="false">
      <c r="A66" s="25" t="str">
        <f aca="false">'Weekly History'!A44</f>
        <v>Summer</v>
      </c>
      <c r="B66" s="25" t="str">
        <f aca="false">'Weekly History'!B44</f>
        <v>Summer Wk 8</v>
      </c>
      <c r="C66" s="12" t="n">
        <f aca="false">'Weekly History'!E44</f>
        <v>5</v>
      </c>
      <c r="D66" s="10" t="n">
        <f aca="false">$B$5*'Weekly History'!C44+$B$6*'Weekly History'!D44</f>
        <v>9.8</v>
      </c>
      <c r="E66" s="12" t="n">
        <f aca="false">'Weekly History'!D44</f>
        <v>11</v>
      </c>
      <c r="F66" s="10" t="n">
        <f aca="false">ABS(C66-D66)</f>
        <v>4.8</v>
      </c>
      <c r="G66" s="10" t="n">
        <f aca="false">ABS(C66-E66)</f>
        <v>6</v>
      </c>
      <c r="H66" s="10" t="n">
        <f aca="false">'Weekly History'!H44</f>
        <v>9</v>
      </c>
      <c r="I66" s="10" t="n">
        <f aca="false">$B$5*'Weekly History'!F44+$B$6*'Weekly History'!G44</f>
        <v>17.64</v>
      </c>
      <c r="J66" s="10" t="n">
        <f aca="false">'Weekly History'!G44</f>
        <v>19.8</v>
      </c>
      <c r="K66" s="10" t="n">
        <f aca="false">ABS(H66-I66)</f>
        <v>8.64</v>
      </c>
      <c r="L66" s="10" t="n">
        <f aca="false">ABS(H66-J66)</f>
        <v>10.8</v>
      </c>
      <c r="N66" s="15" t="s">
        <v>43</v>
      </c>
      <c r="O66" s="15" t="s">
        <v>94</v>
      </c>
      <c r="P66" s="15" t="s">
        <v>91</v>
      </c>
      <c r="Q66" s="16" t="n">
        <f aca="false">SUMIFS('Hourly Usage'!L$4:L$63,'Hourly Usage'!$A$4:$A$63,"Year 3",'Hourly Usage'!$B$4:$B$63,$N66,'Hourly Usage'!$C$4:$C$63,$O66)</f>
        <v>0</v>
      </c>
      <c r="R66" s="16" t="n">
        <f aca="false">$B$5*SUMIFS('Hourly Usage'!L$4:L$63,'Hourly Usage'!$A$4:$A$63,"Year 1",'Hourly Usage'!$B$4:$B$63,$N66,'Hourly Usage'!$C$4:$C$63,$O66)+$B$6*SUMIFS('Hourly Usage'!L$4:L$63,'Hourly Usage'!$A$4:$A$63,"Year 2",'Hourly Usage'!$B$4:$B$63,$N66,'Hourly Usage'!$C$4:$C$63,$O66)</f>
        <v>0.800000000000001</v>
      </c>
      <c r="S66" s="16" t="n">
        <f aca="false">SUMIFS('Hourly Usage'!L$4:L$63,'Hourly Usage'!$A$4:$A$63,"Year 2",'Hourly Usage'!$B$4:$B$63,$N66,'Hourly Usage'!$C$4:$C$63,$O66)</f>
        <v>1</v>
      </c>
      <c r="T66" s="16" t="n">
        <f aca="false">ABS(Q66-R66)</f>
        <v>0.800000000000001</v>
      </c>
      <c r="U66" s="16" t="n">
        <f aca="false">ABS(Q66-S66)</f>
        <v>1</v>
      </c>
      <c r="V66" s="15" t="n">
        <f aca="false">IF(R66&gt;=$B$7-0.000001,1,0)</f>
        <v>1</v>
      </c>
      <c r="W66" s="15" t="n">
        <f aca="false">IF(Q66&gt;=$B$7-0.000001,1,0)</f>
        <v>0</v>
      </c>
      <c r="X66" s="15" t="n">
        <f aca="false">IF(V66=W66,1,0)</f>
        <v>0</v>
      </c>
      <c r="Y66" s="15" t="n">
        <f aca="false">IF(IF(S66&gt;=$B$7-0.000001,1,0)=W66,1,0)</f>
        <v>0</v>
      </c>
    </row>
    <row r="67" customFormat="false" ht="15" hidden="false" customHeight="false" outlineLevel="0" collapsed="false">
      <c r="N67" s="0" t="s">
        <v>43</v>
      </c>
      <c r="O67" s="0" t="s">
        <v>105</v>
      </c>
      <c r="P67" s="0" t="s">
        <v>71</v>
      </c>
      <c r="Q67" s="16" t="n">
        <f aca="false">SUMIFS('Hourly Usage'!D$4:D$63,'Hourly Usage'!$A$4:$A$63,"Year 3",'Hourly Usage'!$B$4:$B$63,$N67,'Hourly Usage'!$C$4:$C$63,$O67)</f>
        <v>0</v>
      </c>
      <c r="R67" s="16" t="n">
        <f aca="false">$B$5*SUMIFS('Hourly Usage'!D$4:D$63,'Hourly Usage'!$A$4:$A$63,"Year 1",'Hourly Usage'!$B$4:$B$63,$N67,'Hourly Usage'!$C$4:$C$63,$O67)+$B$6*SUMIFS('Hourly Usage'!D$4:D$63,'Hourly Usage'!$A$4:$A$63,"Year 2",'Hourly Usage'!$B$4:$B$63,$N67,'Hourly Usage'!$C$4:$C$63,$O67)</f>
        <v>0</v>
      </c>
      <c r="S67" s="16" t="n">
        <f aca="false">SUMIFS('Hourly Usage'!D$4:D$63,'Hourly Usage'!$A$4:$A$63,"Year 2",'Hourly Usage'!$B$4:$B$63,$N67,'Hourly Usage'!$C$4:$C$63,$O67)</f>
        <v>0</v>
      </c>
      <c r="T67" s="16" t="n">
        <f aca="false">ABS(Q67-R67)</f>
        <v>0</v>
      </c>
      <c r="U67" s="16" t="n">
        <f aca="false">ABS(Q67-S67)</f>
        <v>0</v>
      </c>
      <c r="V67" s="15" t="n">
        <f aca="false">IF(R67&gt;=$B$7-0.000001,1,0)</f>
        <v>0</v>
      </c>
      <c r="W67" s="15" t="n">
        <f aca="false">IF(Q67&gt;=$B$7-0.000001,1,0)</f>
        <v>0</v>
      </c>
      <c r="X67" s="15" t="n">
        <f aca="false">IF(V67=W67,1,0)</f>
        <v>1</v>
      </c>
      <c r="Y67" s="15" t="n">
        <f aca="false">IF(IF(S67&gt;=$B$7-0.000001,1,0)=W67,1,0)</f>
        <v>1</v>
      </c>
    </row>
    <row r="68" customFormat="false" ht="15" hidden="false" customHeight="false" outlineLevel="0" collapsed="false">
      <c r="N68" s="0" t="s">
        <v>43</v>
      </c>
      <c r="O68" s="0" t="s">
        <v>105</v>
      </c>
      <c r="P68" s="0" t="s">
        <v>74</v>
      </c>
      <c r="Q68" s="16" t="n">
        <f aca="false">SUMIFS('Hourly Usage'!E$4:E$63,'Hourly Usage'!$A$4:$A$63,"Year 3",'Hourly Usage'!$B$4:$B$63,$N68,'Hourly Usage'!$C$4:$C$63,$O68)</f>
        <v>0</v>
      </c>
      <c r="R68" s="16" t="n">
        <f aca="false">$B$5*SUMIFS('Hourly Usage'!E$4:E$63,'Hourly Usage'!$A$4:$A$63,"Year 1",'Hourly Usage'!$B$4:$B$63,$N68,'Hourly Usage'!$C$4:$C$63,$O68)+$B$6*SUMIFS('Hourly Usage'!E$4:E$63,'Hourly Usage'!$A$4:$A$63,"Year 2",'Hourly Usage'!$B$4:$B$63,$N68,'Hourly Usage'!$C$4:$C$63,$O68)</f>
        <v>0.300000000000002</v>
      </c>
      <c r="S68" s="16" t="n">
        <f aca="false">SUMIFS('Hourly Usage'!E$4:E$63,'Hourly Usage'!$A$4:$A$63,"Year 2",'Hourly Usage'!$B$4:$B$63,$N68,'Hourly Usage'!$C$4:$C$63,$O68)</f>
        <v>0.500000000000004</v>
      </c>
      <c r="T68" s="16" t="n">
        <f aca="false">ABS(Q68-R68)</f>
        <v>0.300000000000002</v>
      </c>
      <c r="U68" s="16" t="n">
        <f aca="false">ABS(Q68-S68)</f>
        <v>0.500000000000004</v>
      </c>
      <c r="V68" s="15" t="n">
        <f aca="false">IF(R68&gt;=$B$7-0.000001,1,0)</f>
        <v>0</v>
      </c>
      <c r="W68" s="15" t="n">
        <f aca="false">IF(Q68&gt;=$B$7-0.000001,1,0)</f>
        <v>0</v>
      </c>
      <c r="X68" s="15" t="n">
        <f aca="false">IF(V68=W68,1,0)</f>
        <v>1</v>
      </c>
      <c r="Y68" s="15" t="n">
        <f aca="false">IF(IF(S68&gt;=$B$7-0.000001,1,0)=W68,1,0)</f>
        <v>0</v>
      </c>
    </row>
    <row r="69" customFormat="false" ht="15" hidden="false" customHeight="false" outlineLevel="0" collapsed="false">
      <c r="N69" s="0" t="s">
        <v>43</v>
      </c>
      <c r="O69" s="0" t="s">
        <v>105</v>
      </c>
      <c r="P69" s="0" t="s">
        <v>76</v>
      </c>
      <c r="Q69" s="16" t="n">
        <f aca="false">SUMIFS('Hourly Usage'!F$4:F$63,'Hourly Usage'!$A$4:$A$63,"Year 3",'Hourly Usage'!$B$4:$B$63,$N69,'Hourly Usage'!$C$4:$C$63,$O69)</f>
        <v>0</v>
      </c>
      <c r="R69" s="16" t="n">
        <f aca="false">$B$5*SUMIFS('Hourly Usage'!F$4:F$63,'Hourly Usage'!$A$4:$A$63,"Year 1",'Hourly Usage'!$B$4:$B$63,$N69,'Hourly Usage'!$C$4:$C$63,$O69)+$B$6*SUMIFS('Hourly Usage'!F$4:F$63,'Hourly Usage'!$A$4:$A$63,"Year 2",'Hourly Usage'!$B$4:$B$63,$N69,'Hourly Usage'!$C$4:$C$63,$O69)</f>
        <v>0.599999999999999</v>
      </c>
      <c r="S69" s="16" t="n">
        <f aca="false">SUMIFS('Hourly Usage'!F$4:F$63,'Hourly Usage'!$A$4:$A$63,"Year 2",'Hourly Usage'!$B$4:$B$63,$N69,'Hourly Usage'!$C$4:$C$63,$O69)</f>
        <v>0.333333333333334</v>
      </c>
      <c r="T69" s="16" t="n">
        <f aca="false">ABS(Q69-R69)</f>
        <v>0.599999999999999</v>
      </c>
      <c r="U69" s="16" t="n">
        <f aca="false">ABS(Q69-S69)</f>
        <v>0.333333333333334</v>
      </c>
      <c r="V69" s="15" t="n">
        <f aca="false">IF(R69&gt;=$B$7-0.000001,1,0)</f>
        <v>1</v>
      </c>
      <c r="W69" s="15" t="n">
        <f aca="false">IF(Q69&gt;=$B$7-0.000001,1,0)</f>
        <v>0</v>
      </c>
      <c r="X69" s="15" t="n">
        <f aca="false">IF(V69=W69,1,0)</f>
        <v>0</v>
      </c>
      <c r="Y69" s="15" t="n">
        <f aca="false">IF(IF(S69&gt;=$B$7-0.000001,1,0)=W69,1,0)</f>
        <v>1</v>
      </c>
    </row>
    <row r="70" customFormat="false" ht="15" hidden="false" customHeight="false" outlineLevel="0" collapsed="false">
      <c r="N70" s="0" t="s">
        <v>43</v>
      </c>
      <c r="O70" s="0" t="s">
        <v>105</v>
      </c>
      <c r="P70" s="0" t="s">
        <v>78</v>
      </c>
      <c r="Q70" s="16" t="n">
        <f aca="false">SUMIFS('Hourly Usage'!G$4:G$63,'Hourly Usage'!$A$4:$A$63,"Year 3",'Hourly Usage'!$B$4:$B$63,$N70,'Hourly Usage'!$C$4:$C$63,$O70)</f>
        <v>0</v>
      </c>
      <c r="R70" s="16" t="n">
        <f aca="false">$B$5*SUMIFS('Hourly Usage'!G$4:G$63,'Hourly Usage'!$A$4:$A$63,"Year 1",'Hourly Usage'!$B$4:$B$63,$N70,'Hourly Usage'!$C$4:$C$63,$O70)+$B$6*SUMIFS('Hourly Usage'!G$4:G$63,'Hourly Usage'!$A$4:$A$63,"Year 2",'Hourly Usage'!$B$4:$B$63,$N70,'Hourly Usage'!$C$4:$C$63,$O70)</f>
        <v>0.4</v>
      </c>
      <c r="S70" s="16" t="n">
        <f aca="false">SUMIFS('Hourly Usage'!G$4:G$63,'Hourly Usage'!$A$4:$A$63,"Year 2",'Hourly Usage'!$B$4:$B$63,$N70,'Hourly Usage'!$C$4:$C$63,$O70)</f>
        <v>0</v>
      </c>
      <c r="T70" s="16" t="n">
        <f aca="false">ABS(Q70-R70)</f>
        <v>0.4</v>
      </c>
      <c r="U70" s="16" t="n">
        <f aca="false">ABS(Q70-S70)</f>
        <v>0</v>
      </c>
      <c r="V70" s="15" t="n">
        <f aca="false">IF(R70&gt;=$B$7-0.000001,1,0)</f>
        <v>0</v>
      </c>
      <c r="W70" s="15" t="n">
        <f aca="false">IF(Q70&gt;=$B$7-0.000001,1,0)</f>
        <v>0</v>
      </c>
      <c r="X70" s="15" t="n">
        <f aca="false">IF(V70=W70,1,0)</f>
        <v>1</v>
      </c>
      <c r="Y70" s="15" t="n">
        <f aca="false">IF(IF(S70&gt;=$B$7-0.000001,1,0)=W70,1,0)</f>
        <v>1</v>
      </c>
    </row>
    <row r="71" customFormat="false" ht="15" hidden="false" customHeight="false" outlineLevel="0" collapsed="false">
      <c r="N71" s="0" t="s">
        <v>43</v>
      </c>
      <c r="O71" s="0" t="s">
        <v>105</v>
      </c>
      <c r="P71" s="0" t="s">
        <v>79</v>
      </c>
      <c r="Q71" s="16" t="n">
        <f aca="false">SUMIFS('Hourly Usage'!H$4:H$63,'Hourly Usage'!$A$4:$A$63,"Year 3",'Hourly Usage'!$B$4:$B$63,$N71,'Hourly Usage'!$C$4:$C$63,$O71)</f>
        <v>0.999999999999996</v>
      </c>
      <c r="R71" s="16" t="n">
        <f aca="false">$B$5*SUMIFS('Hourly Usage'!H$4:H$63,'Hourly Usage'!$A$4:$A$63,"Year 1",'Hourly Usage'!$B$4:$B$63,$N71,'Hourly Usage'!$C$4:$C$63,$O71)+$B$6*SUMIFS('Hourly Usage'!H$4:H$63,'Hourly Usage'!$A$4:$A$63,"Year 2",'Hourly Usage'!$B$4:$B$63,$N71,'Hourly Usage'!$C$4:$C$63,$O71)</f>
        <v>0.599999999999999</v>
      </c>
      <c r="S71" s="16" t="n">
        <f aca="false">SUMIFS('Hourly Usage'!H$4:H$63,'Hourly Usage'!$A$4:$A$63,"Year 2",'Hourly Usage'!$B$4:$B$63,$N71,'Hourly Usage'!$C$4:$C$63,$O71)</f>
        <v>0.999999999999999</v>
      </c>
      <c r="T71" s="16" t="n">
        <f aca="false">ABS(Q71-R71)</f>
        <v>0.399999999999997</v>
      </c>
      <c r="U71" s="16" t="n">
        <f aca="false">ABS(Q71-S71)</f>
        <v>0</v>
      </c>
      <c r="V71" s="15" t="n">
        <f aca="false">IF(R71&gt;=$B$7-0.000001,1,0)</f>
        <v>1</v>
      </c>
      <c r="W71" s="15" t="n">
        <f aca="false">IF(Q71&gt;=$B$7-0.000001,1,0)</f>
        <v>1</v>
      </c>
      <c r="X71" s="15" t="n">
        <f aca="false">IF(V71=W71,1,0)</f>
        <v>1</v>
      </c>
      <c r="Y71" s="15" t="n">
        <f aca="false">IF(IF(S71&gt;=$B$7-0.000001,1,0)=W71,1,0)</f>
        <v>1</v>
      </c>
    </row>
    <row r="72" customFormat="false" ht="15" hidden="false" customHeight="false" outlineLevel="0" collapsed="false">
      <c r="N72" s="0" t="s">
        <v>43</v>
      </c>
      <c r="O72" s="0" t="s">
        <v>105</v>
      </c>
      <c r="P72" s="0" t="s">
        <v>81</v>
      </c>
      <c r="Q72" s="16" t="n">
        <f aca="false">SUMIFS('Hourly Usage'!I$4:I$63,'Hourly Usage'!$A$4:$A$63,"Year 3",'Hourly Usage'!$B$4:$B$63,$N72,'Hourly Usage'!$C$4:$C$63,$O72)</f>
        <v>0.500000000000004</v>
      </c>
      <c r="R72" s="16" t="n">
        <f aca="false">$B$5*SUMIFS('Hourly Usage'!I$4:I$63,'Hourly Usage'!$A$4:$A$63,"Year 1",'Hourly Usage'!$B$4:$B$63,$N72,'Hourly Usage'!$C$4:$C$63,$O72)+$B$6*SUMIFS('Hourly Usage'!I$4:I$63,'Hourly Usage'!$A$4:$A$63,"Year 2",'Hourly Usage'!$B$4:$B$63,$N72,'Hourly Usage'!$C$4:$C$63,$O72)</f>
        <v>0.650000000000001</v>
      </c>
      <c r="S72" s="16" t="n">
        <f aca="false">SUMIFS('Hourly Usage'!I$4:I$63,'Hourly Usage'!$A$4:$A$63,"Year 2",'Hourly Usage'!$B$4:$B$63,$N72,'Hourly Usage'!$C$4:$C$63,$O72)</f>
        <v>0.750000000000003</v>
      </c>
      <c r="T72" s="16" t="n">
        <f aca="false">ABS(Q72-R72)</f>
        <v>0.149999999999997</v>
      </c>
      <c r="U72" s="16" t="n">
        <f aca="false">ABS(Q72-S72)</f>
        <v>0.249999999999999</v>
      </c>
      <c r="V72" s="15" t="n">
        <f aca="false">IF(R72&gt;=$B$7-0.000001,1,0)</f>
        <v>1</v>
      </c>
      <c r="W72" s="15" t="n">
        <f aca="false">IF(Q72&gt;=$B$7-0.000001,1,0)</f>
        <v>1</v>
      </c>
      <c r="X72" s="15" t="n">
        <f aca="false">IF(V72=W72,1,0)</f>
        <v>1</v>
      </c>
      <c r="Y72" s="15" t="n">
        <f aca="false">IF(IF(S72&gt;=$B$7-0.000001,1,0)=W72,1,0)</f>
        <v>1</v>
      </c>
    </row>
    <row r="73" customFormat="false" ht="15" hidden="false" customHeight="false" outlineLevel="0" collapsed="false">
      <c r="N73" s="0" t="s">
        <v>43</v>
      </c>
      <c r="O73" s="0" t="s">
        <v>105</v>
      </c>
      <c r="P73" s="0" t="s">
        <v>85</v>
      </c>
      <c r="Q73" s="16" t="n">
        <f aca="false">SUMIFS('Hourly Usage'!J$4:J$63,'Hourly Usage'!$A$4:$A$63,"Year 3",'Hourly Usage'!$B$4:$B$63,$N73,'Hourly Usage'!$C$4:$C$63,$O73)</f>
        <v>0</v>
      </c>
      <c r="R73" s="16" t="n">
        <f aca="false">$B$5*SUMIFS('Hourly Usage'!J$4:J$63,'Hourly Usage'!$A$4:$A$63,"Year 1",'Hourly Usage'!$B$4:$B$63,$N73,'Hourly Usage'!$C$4:$C$63,$O73)+$B$6*SUMIFS('Hourly Usage'!J$4:J$63,'Hourly Usage'!$A$4:$A$63,"Year 2",'Hourly Usage'!$B$4:$B$63,$N73,'Hourly Usage'!$C$4:$C$63,$O73)</f>
        <v>0.83333333333333</v>
      </c>
      <c r="S73" s="16" t="n">
        <f aca="false">SUMIFS('Hourly Usage'!J$4:J$63,'Hourly Usage'!$A$4:$A$63,"Year 2",'Hourly Usage'!$B$4:$B$63,$N73,'Hourly Usage'!$C$4:$C$63,$O73)</f>
        <v>0.83333333333333</v>
      </c>
      <c r="T73" s="16" t="n">
        <f aca="false">ABS(Q73-R73)</f>
        <v>0.83333333333333</v>
      </c>
      <c r="U73" s="16" t="n">
        <f aca="false">ABS(Q73-S73)</f>
        <v>0.83333333333333</v>
      </c>
      <c r="V73" s="15" t="n">
        <f aca="false">IF(R73&gt;=$B$7-0.000001,1,0)</f>
        <v>1</v>
      </c>
      <c r="W73" s="15" t="n">
        <f aca="false">IF(Q73&gt;=$B$7-0.000001,1,0)</f>
        <v>0</v>
      </c>
      <c r="X73" s="15" t="n">
        <f aca="false">IF(V73=W73,1,0)</f>
        <v>0</v>
      </c>
      <c r="Y73" s="15" t="n">
        <f aca="false">IF(IF(S73&gt;=$B$7-0.000001,1,0)=W73,1,0)</f>
        <v>0</v>
      </c>
    </row>
    <row r="74" customFormat="false" ht="15" hidden="false" customHeight="false" outlineLevel="0" collapsed="false">
      <c r="N74" s="0" t="s">
        <v>43</v>
      </c>
      <c r="O74" s="0" t="s">
        <v>105</v>
      </c>
      <c r="P74" s="0" t="s">
        <v>88</v>
      </c>
      <c r="Q74" s="16" t="n">
        <f aca="false">SUMIFS('Hourly Usage'!K$4:K$63,'Hourly Usage'!$A$4:$A$63,"Year 3",'Hourly Usage'!$B$4:$B$63,$N74,'Hourly Usage'!$C$4:$C$63,$O74)</f>
        <v>0.499999999999996</v>
      </c>
      <c r="R74" s="16" t="n">
        <f aca="false">$B$5*SUMIFS('Hourly Usage'!K$4:K$63,'Hourly Usage'!$A$4:$A$63,"Year 1",'Hourly Usage'!$B$4:$B$63,$N74,'Hourly Usage'!$C$4:$C$63,$O74)+$B$6*SUMIFS('Hourly Usage'!K$4:K$63,'Hourly Usage'!$A$4:$A$63,"Year 2",'Hourly Usage'!$B$4:$B$63,$N74,'Hourly Usage'!$C$4:$C$63,$O74)</f>
        <v>0</v>
      </c>
      <c r="S74" s="16" t="n">
        <f aca="false">SUMIFS('Hourly Usage'!K$4:K$63,'Hourly Usage'!$A$4:$A$63,"Year 2",'Hourly Usage'!$B$4:$B$63,$N74,'Hourly Usage'!$C$4:$C$63,$O74)</f>
        <v>0</v>
      </c>
      <c r="T74" s="16" t="n">
        <f aca="false">ABS(Q74-R74)</f>
        <v>0.499999999999996</v>
      </c>
      <c r="U74" s="16" t="n">
        <f aca="false">ABS(Q74-S74)</f>
        <v>0.499999999999996</v>
      </c>
      <c r="V74" s="15" t="n">
        <f aca="false">IF(R74&gt;=$B$7-0.000001,1,0)</f>
        <v>0</v>
      </c>
      <c r="W74" s="15" t="n">
        <f aca="false">IF(Q74&gt;=$B$7-0.000001,1,0)</f>
        <v>1</v>
      </c>
      <c r="X74" s="15" t="n">
        <f aca="false">IF(V74=W74,1,0)</f>
        <v>0</v>
      </c>
      <c r="Y74" s="15" t="n">
        <f aca="false">IF(IF(S74&gt;=$B$7-0.000001,1,0)=W74,1,0)</f>
        <v>0</v>
      </c>
    </row>
    <row r="75" customFormat="false" ht="15" hidden="false" customHeight="false" outlineLevel="0" collapsed="false">
      <c r="N75" s="0" t="s">
        <v>43</v>
      </c>
      <c r="O75" s="0" t="s">
        <v>105</v>
      </c>
      <c r="P75" s="0" t="s">
        <v>91</v>
      </c>
      <c r="Q75" s="16" t="n">
        <f aca="false">SUMIFS('Hourly Usage'!L$4:L$63,'Hourly Usage'!$A$4:$A$63,"Year 3",'Hourly Usage'!$B$4:$B$63,$N75,'Hourly Usage'!$C$4:$C$63,$O75)</f>
        <v>1</v>
      </c>
      <c r="R75" s="16" t="n">
        <f aca="false">$B$5*SUMIFS('Hourly Usage'!L$4:L$63,'Hourly Usage'!$A$4:$A$63,"Year 1",'Hourly Usage'!$B$4:$B$63,$N75,'Hourly Usage'!$C$4:$C$63,$O75)+$B$6*SUMIFS('Hourly Usage'!L$4:L$63,'Hourly Usage'!$A$4:$A$63,"Year 2",'Hourly Usage'!$B$4:$B$63,$N75,'Hourly Usage'!$C$4:$C$63,$O75)</f>
        <v>0</v>
      </c>
      <c r="S75" s="16" t="n">
        <f aca="false">SUMIFS('Hourly Usage'!L$4:L$63,'Hourly Usage'!$A$4:$A$63,"Year 2",'Hourly Usage'!$B$4:$B$63,$N75,'Hourly Usage'!$C$4:$C$63,$O75)</f>
        <v>0</v>
      </c>
      <c r="T75" s="16" t="n">
        <f aca="false">ABS(Q75-R75)</f>
        <v>1</v>
      </c>
      <c r="U75" s="16" t="n">
        <f aca="false">ABS(Q75-S75)</f>
        <v>1</v>
      </c>
      <c r="V75" s="15" t="n">
        <f aca="false">IF(R75&gt;=$B$7-0.000001,1,0)</f>
        <v>0</v>
      </c>
      <c r="W75" s="15" t="n">
        <f aca="false">IF(Q75&gt;=$B$7-0.000001,1,0)</f>
        <v>1</v>
      </c>
      <c r="X75" s="15" t="n">
        <f aca="false">IF(V75=W75,1,0)</f>
        <v>0</v>
      </c>
      <c r="Y75" s="15" t="n">
        <f aca="false">IF(IF(S75&gt;=$B$7-0.000001,1,0)=W75,1,0)</f>
        <v>0</v>
      </c>
    </row>
    <row r="76" customFormat="false" ht="15" hidden="false" customHeight="false" outlineLevel="0" collapsed="false">
      <c r="N76" s="0" t="s">
        <v>43</v>
      </c>
      <c r="O76" s="0" t="s">
        <v>117</v>
      </c>
      <c r="P76" s="0" t="s">
        <v>71</v>
      </c>
      <c r="Q76" s="16" t="n">
        <f aca="false">SUMIFS('Hourly Usage'!D$4:D$63,'Hourly Usage'!$A$4:$A$63,"Year 3",'Hourly Usage'!$B$4:$B$63,$N76,'Hourly Usage'!$C$4:$C$63,$O76)</f>
        <v>0</v>
      </c>
      <c r="R76" s="16" t="n">
        <f aca="false">$B$5*SUMIFS('Hourly Usage'!D$4:D$63,'Hourly Usage'!$A$4:$A$63,"Year 1",'Hourly Usage'!$B$4:$B$63,$N76,'Hourly Usage'!$C$4:$C$63,$O76)+$B$6*SUMIFS('Hourly Usage'!D$4:D$63,'Hourly Usage'!$A$4:$A$63,"Year 2",'Hourly Usage'!$B$4:$B$63,$N76,'Hourly Usage'!$C$4:$C$63,$O76)</f>
        <v>0</v>
      </c>
      <c r="S76" s="16" t="n">
        <f aca="false">SUMIFS('Hourly Usage'!D$4:D$63,'Hourly Usage'!$A$4:$A$63,"Year 2",'Hourly Usage'!$B$4:$B$63,$N76,'Hourly Usage'!$C$4:$C$63,$O76)</f>
        <v>0</v>
      </c>
      <c r="T76" s="16" t="n">
        <f aca="false">ABS(Q76-R76)</f>
        <v>0</v>
      </c>
      <c r="U76" s="16" t="n">
        <f aca="false">ABS(Q76-S76)</f>
        <v>0</v>
      </c>
      <c r="V76" s="15" t="n">
        <f aca="false">IF(R76&gt;=$B$7-0.000001,1,0)</f>
        <v>0</v>
      </c>
      <c r="W76" s="15" t="n">
        <f aca="false">IF(Q76&gt;=$B$7-0.000001,1,0)</f>
        <v>0</v>
      </c>
      <c r="X76" s="15" t="n">
        <f aca="false">IF(V76=W76,1,0)</f>
        <v>1</v>
      </c>
      <c r="Y76" s="15" t="n">
        <f aca="false">IF(IF(S76&gt;=$B$7-0.000001,1,0)=W76,1,0)</f>
        <v>1</v>
      </c>
    </row>
    <row r="77" customFormat="false" ht="15" hidden="false" customHeight="false" outlineLevel="0" collapsed="false">
      <c r="N77" s="0" t="s">
        <v>43</v>
      </c>
      <c r="O77" s="0" t="s">
        <v>117</v>
      </c>
      <c r="P77" s="0" t="s">
        <v>74</v>
      </c>
      <c r="Q77" s="16" t="n">
        <f aca="false">SUMIFS('Hourly Usage'!E$4:E$63,'Hourly Usage'!$A$4:$A$63,"Year 3",'Hourly Usage'!$B$4:$B$63,$N77,'Hourly Usage'!$C$4:$C$63,$O77)</f>
        <v>0</v>
      </c>
      <c r="R77" s="16" t="n">
        <f aca="false">$B$5*SUMIFS('Hourly Usage'!E$4:E$63,'Hourly Usage'!$A$4:$A$63,"Year 1",'Hourly Usage'!$B$4:$B$63,$N77,'Hourly Usage'!$C$4:$C$63,$O77)+$B$6*SUMIFS('Hourly Usage'!E$4:E$63,'Hourly Usage'!$A$4:$A$63,"Year 2",'Hourly Usage'!$B$4:$B$63,$N77,'Hourly Usage'!$C$4:$C$63,$O77)</f>
        <v>0.200000000000001</v>
      </c>
      <c r="S77" s="16" t="n">
        <f aca="false">SUMIFS('Hourly Usage'!E$4:E$63,'Hourly Usage'!$A$4:$A$63,"Year 2",'Hourly Usage'!$B$4:$B$63,$N77,'Hourly Usage'!$C$4:$C$63,$O77)</f>
        <v>0</v>
      </c>
      <c r="T77" s="16" t="n">
        <f aca="false">ABS(Q77-R77)</f>
        <v>0.200000000000001</v>
      </c>
      <c r="U77" s="16" t="n">
        <f aca="false">ABS(Q77-S77)</f>
        <v>0</v>
      </c>
      <c r="V77" s="15" t="n">
        <f aca="false">IF(R77&gt;=$B$7-0.000001,1,0)</f>
        <v>0</v>
      </c>
      <c r="W77" s="15" t="n">
        <f aca="false">IF(Q77&gt;=$B$7-0.000001,1,0)</f>
        <v>0</v>
      </c>
      <c r="X77" s="15" t="n">
        <f aca="false">IF(V77=W77,1,0)</f>
        <v>1</v>
      </c>
      <c r="Y77" s="15" t="n">
        <f aca="false">IF(IF(S77&gt;=$B$7-0.000001,1,0)=W77,1,0)</f>
        <v>1</v>
      </c>
    </row>
    <row r="78" customFormat="false" ht="15" hidden="false" customHeight="false" outlineLevel="0" collapsed="false">
      <c r="N78" s="0" t="s">
        <v>43</v>
      </c>
      <c r="O78" s="0" t="s">
        <v>117</v>
      </c>
      <c r="P78" s="0" t="s">
        <v>76</v>
      </c>
      <c r="Q78" s="16" t="n">
        <f aca="false">SUMIFS('Hourly Usage'!F$4:F$63,'Hourly Usage'!$A$4:$A$63,"Year 3",'Hourly Usage'!$B$4:$B$63,$N78,'Hourly Usage'!$C$4:$C$63,$O78)</f>
        <v>0</v>
      </c>
      <c r="R78" s="16" t="n">
        <f aca="false">$B$5*SUMIFS('Hourly Usage'!F$4:F$63,'Hourly Usage'!$A$4:$A$63,"Year 1",'Hourly Usage'!$B$4:$B$63,$N78,'Hourly Usage'!$C$4:$C$63,$O78)+$B$6*SUMIFS('Hourly Usage'!F$4:F$63,'Hourly Usage'!$A$4:$A$63,"Year 2",'Hourly Usage'!$B$4:$B$63,$N78,'Hourly Usage'!$C$4:$C$63,$O78)</f>
        <v>0.4</v>
      </c>
      <c r="S78" s="16" t="n">
        <f aca="false">SUMIFS('Hourly Usage'!F$4:F$63,'Hourly Usage'!$A$4:$A$63,"Year 2",'Hourly Usage'!$B$4:$B$63,$N78,'Hourly Usage'!$C$4:$C$63,$O78)</f>
        <v>0</v>
      </c>
      <c r="T78" s="16" t="n">
        <f aca="false">ABS(Q78-R78)</f>
        <v>0.4</v>
      </c>
      <c r="U78" s="16" t="n">
        <f aca="false">ABS(Q78-S78)</f>
        <v>0</v>
      </c>
      <c r="V78" s="15" t="n">
        <f aca="false">IF(R78&gt;=$B$7-0.000001,1,0)</f>
        <v>0</v>
      </c>
      <c r="W78" s="15" t="n">
        <f aca="false">IF(Q78&gt;=$B$7-0.000001,1,0)</f>
        <v>0</v>
      </c>
      <c r="X78" s="15" t="n">
        <f aca="false">IF(V78=W78,1,0)</f>
        <v>1</v>
      </c>
      <c r="Y78" s="15" t="n">
        <f aca="false">IF(IF(S78&gt;=$B$7-0.000001,1,0)=W78,1,0)</f>
        <v>1</v>
      </c>
    </row>
    <row r="79" customFormat="false" ht="15" hidden="false" customHeight="false" outlineLevel="0" collapsed="false">
      <c r="N79" s="0" t="s">
        <v>43</v>
      </c>
      <c r="O79" s="0" t="s">
        <v>117</v>
      </c>
      <c r="P79" s="0" t="s">
        <v>78</v>
      </c>
      <c r="Q79" s="16" t="n">
        <f aca="false">SUMIFS('Hourly Usage'!G$4:G$63,'Hourly Usage'!$A$4:$A$63,"Year 3",'Hourly Usage'!$B$4:$B$63,$N79,'Hourly Usage'!$C$4:$C$63,$O79)</f>
        <v>0</v>
      </c>
      <c r="R79" s="16" t="n">
        <f aca="false">$B$5*SUMIFS('Hourly Usage'!G$4:G$63,'Hourly Usage'!$A$4:$A$63,"Year 1",'Hourly Usage'!$B$4:$B$63,$N79,'Hourly Usage'!$C$4:$C$63,$O79)+$B$6*SUMIFS('Hourly Usage'!G$4:G$63,'Hourly Usage'!$A$4:$A$63,"Year 2",'Hourly Usage'!$B$4:$B$63,$N79,'Hourly Usage'!$C$4:$C$63,$O79)</f>
        <v>0.200000000000001</v>
      </c>
      <c r="S79" s="16" t="n">
        <f aca="false">SUMIFS('Hourly Usage'!G$4:G$63,'Hourly Usage'!$A$4:$A$63,"Year 2",'Hourly Usage'!$B$4:$B$63,$N79,'Hourly Usage'!$C$4:$C$63,$O79)</f>
        <v>0</v>
      </c>
      <c r="T79" s="16" t="n">
        <f aca="false">ABS(Q79-R79)</f>
        <v>0.200000000000001</v>
      </c>
      <c r="U79" s="16" t="n">
        <f aca="false">ABS(Q79-S79)</f>
        <v>0</v>
      </c>
      <c r="V79" s="15" t="n">
        <f aca="false">IF(R79&gt;=$B$7-0.000001,1,0)</f>
        <v>0</v>
      </c>
      <c r="W79" s="15" t="n">
        <f aca="false">IF(Q79&gt;=$B$7-0.000001,1,0)</f>
        <v>0</v>
      </c>
      <c r="X79" s="15" t="n">
        <f aca="false">IF(V79=W79,1,0)</f>
        <v>1</v>
      </c>
      <c r="Y79" s="15" t="n">
        <f aca="false">IF(IF(S79&gt;=$B$7-0.000001,1,0)=W79,1,0)</f>
        <v>1</v>
      </c>
    </row>
    <row r="80" customFormat="false" ht="15" hidden="false" customHeight="false" outlineLevel="0" collapsed="false">
      <c r="N80" s="0" t="s">
        <v>43</v>
      </c>
      <c r="O80" s="0" t="s">
        <v>117</v>
      </c>
      <c r="P80" s="0" t="s">
        <v>79</v>
      </c>
      <c r="Q80" s="16" t="n">
        <f aca="false">SUMIFS('Hourly Usage'!H$4:H$63,'Hourly Usage'!$A$4:$A$63,"Year 3",'Hourly Usage'!$B$4:$B$63,$N80,'Hourly Usage'!$C$4:$C$63,$O80)</f>
        <v>1</v>
      </c>
      <c r="R80" s="16" t="n">
        <f aca="false">$B$5*SUMIFS('Hourly Usage'!H$4:H$63,'Hourly Usage'!$A$4:$A$63,"Year 1",'Hourly Usage'!$B$4:$B$63,$N80,'Hourly Usage'!$C$4:$C$63,$O80)+$B$6*SUMIFS('Hourly Usage'!H$4:H$63,'Hourly Usage'!$A$4:$A$63,"Year 2",'Hourly Usage'!$B$4:$B$63,$N80,'Hourly Usage'!$C$4:$C$63,$O80)</f>
        <v>0.999999999999996</v>
      </c>
      <c r="S80" s="16" t="n">
        <f aca="false">SUMIFS('Hourly Usage'!H$4:H$63,'Hourly Usage'!$A$4:$A$63,"Year 2",'Hourly Usage'!$B$4:$B$63,$N80,'Hourly Usage'!$C$4:$C$63,$O80)</f>
        <v>0.999999999999996</v>
      </c>
      <c r="T80" s="16" t="n">
        <f aca="false">ABS(Q80-R80)</f>
        <v>3.5527136788005E-015</v>
      </c>
      <c r="U80" s="16" t="n">
        <f aca="false">ABS(Q80-S80)</f>
        <v>3.5527136788005E-015</v>
      </c>
      <c r="V80" s="15" t="n">
        <f aca="false">IF(R80&gt;=$B$7-0.000001,1,0)</f>
        <v>1</v>
      </c>
      <c r="W80" s="15" t="n">
        <f aca="false">IF(Q80&gt;=$B$7-0.000001,1,0)</f>
        <v>1</v>
      </c>
      <c r="X80" s="15" t="n">
        <f aca="false">IF(V80=W80,1,0)</f>
        <v>1</v>
      </c>
      <c r="Y80" s="15" t="n">
        <f aca="false">IF(IF(S80&gt;=$B$7-0.000001,1,0)=W80,1,0)</f>
        <v>1</v>
      </c>
    </row>
    <row r="81" customFormat="false" ht="15" hidden="false" customHeight="false" outlineLevel="0" collapsed="false">
      <c r="N81" s="0" t="s">
        <v>43</v>
      </c>
      <c r="O81" s="0" t="s">
        <v>117</v>
      </c>
      <c r="P81" s="0" t="s">
        <v>81</v>
      </c>
      <c r="Q81" s="16" t="n">
        <f aca="false">SUMIFS('Hourly Usage'!I$4:I$63,'Hourly Usage'!$A$4:$A$63,"Year 3",'Hourly Usage'!$B$4:$B$63,$N81,'Hourly Usage'!$C$4:$C$63,$O81)</f>
        <v>0.66666666666667</v>
      </c>
      <c r="R81" s="16" t="n">
        <f aca="false">$B$5*SUMIFS('Hourly Usage'!I$4:I$63,'Hourly Usage'!$A$4:$A$63,"Year 1",'Hourly Usage'!$B$4:$B$63,$N81,'Hourly Usage'!$C$4:$C$63,$O81)+$B$6*SUMIFS('Hourly Usage'!I$4:I$63,'Hourly Usage'!$A$4:$A$63,"Year 2",'Hourly Usage'!$B$4:$B$63,$N81,'Hourly Usage'!$C$4:$C$63,$O81)</f>
        <v>0.500000000000004</v>
      </c>
      <c r="S81" s="16" t="n">
        <f aca="false">SUMIFS('Hourly Usage'!I$4:I$63,'Hourly Usage'!$A$4:$A$63,"Year 2",'Hourly Usage'!$B$4:$B$63,$N81,'Hourly Usage'!$C$4:$C$63,$O81)</f>
        <v>0.500000000000004</v>
      </c>
      <c r="T81" s="16" t="n">
        <f aca="false">ABS(Q81-R81)</f>
        <v>0.166666666666666</v>
      </c>
      <c r="U81" s="16" t="n">
        <f aca="false">ABS(Q81-S81)</f>
        <v>0.166666666666666</v>
      </c>
      <c r="V81" s="15" t="n">
        <f aca="false">IF(R81&gt;=$B$7-0.000001,1,0)</f>
        <v>1</v>
      </c>
      <c r="W81" s="15" t="n">
        <f aca="false">IF(Q81&gt;=$B$7-0.000001,1,0)</f>
        <v>1</v>
      </c>
      <c r="X81" s="15" t="n">
        <f aca="false">IF(V81=W81,1,0)</f>
        <v>1</v>
      </c>
      <c r="Y81" s="15" t="n">
        <f aca="false">IF(IF(S81&gt;=$B$7-0.000001,1,0)=W81,1,0)</f>
        <v>1</v>
      </c>
    </row>
    <row r="82" customFormat="false" ht="15" hidden="false" customHeight="false" outlineLevel="0" collapsed="false">
      <c r="N82" s="0" t="s">
        <v>43</v>
      </c>
      <c r="O82" s="0" t="s">
        <v>117</v>
      </c>
      <c r="P82" s="0" t="s">
        <v>85</v>
      </c>
      <c r="Q82" s="16" t="n">
        <f aca="false">SUMIFS('Hourly Usage'!J$4:J$63,'Hourly Usage'!$A$4:$A$63,"Year 3",'Hourly Usage'!$B$4:$B$63,$N82,'Hourly Usage'!$C$4:$C$63,$O82)</f>
        <v>0</v>
      </c>
      <c r="R82" s="16" t="n">
        <f aca="false">$B$5*SUMIFS('Hourly Usage'!J$4:J$63,'Hourly Usage'!$A$4:$A$63,"Year 1",'Hourly Usage'!$B$4:$B$63,$N82,'Hourly Usage'!$C$4:$C$63,$O82)+$B$6*SUMIFS('Hourly Usage'!J$4:J$63,'Hourly Usage'!$A$4:$A$63,"Year 2",'Hourly Usage'!$B$4:$B$63,$N82,'Hourly Usage'!$C$4:$C$63,$O82)</f>
        <v>0</v>
      </c>
      <c r="S82" s="16" t="n">
        <f aca="false">SUMIFS('Hourly Usage'!J$4:J$63,'Hourly Usage'!$A$4:$A$63,"Year 2",'Hourly Usage'!$B$4:$B$63,$N82,'Hourly Usage'!$C$4:$C$63,$O82)</f>
        <v>0</v>
      </c>
      <c r="T82" s="16" t="n">
        <f aca="false">ABS(Q82-R82)</f>
        <v>0</v>
      </c>
      <c r="U82" s="16" t="n">
        <f aca="false">ABS(Q82-S82)</f>
        <v>0</v>
      </c>
      <c r="V82" s="15" t="n">
        <f aca="false">IF(R82&gt;=$B$7-0.000001,1,0)</f>
        <v>0</v>
      </c>
      <c r="W82" s="15" t="n">
        <f aca="false">IF(Q82&gt;=$B$7-0.000001,1,0)</f>
        <v>0</v>
      </c>
      <c r="X82" s="15" t="n">
        <f aca="false">IF(V82=W82,1,0)</f>
        <v>1</v>
      </c>
      <c r="Y82" s="15" t="n">
        <f aca="false">IF(IF(S82&gt;=$B$7-0.000001,1,0)=W82,1,0)</f>
        <v>1</v>
      </c>
    </row>
    <row r="83" customFormat="false" ht="15" hidden="false" customHeight="false" outlineLevel="0" collapsed="false">
      <c r="N83" s="0" t="s">
        <v>43</v>
      </c>
      <c r="O83" s="0" t="s">
        <v>117</v>
      </c>
      <c r="P83" s="0" t="s">
        <v>88</v>
      </c>
      <c r="Q83" s="16" t="n">
        <f aca="false">SUMIFS('Hourly Usage'!K$4:K$63,'Hourly Usage'!$A$4:$A$63,"Year 3",'Hourly Usage'!$B$4:$B$63,$N83,'Hourly Usage'!$C$4:$C$63,$O83)</f>
        <v>0.999999999999999</v>
      </c>
      <c r="R83" s="16" t="n">
        <f aca="false">$B$5*SUMIFS('Hourly Usage'!K$4:K$63,'Hourly Usage'!$A$4:$A$63,"Year 1",'Hourly Usage'!$B$4:$B$63,$N83,'Hourly Usage'!$C$4:$C$63,$O83)+$B$6*SUMIFS('Hourly Usage'!K$4:K$63,'Hourly Usage'!$A$4:$A$63,"Year 2",'Hourly Usage'!$B$4:$B$63,$N83,'Hourly Usage'!$C$4:$C$63,$O83)</f>
        <v>0.999999999999998</v>
      </c>
      <c r="S83" s="16" t="n">
        <f aca="false">SUMIFS('Hourly Usage'!K$4:K$63,'Hourly Usage'!$A$4:$A$63,"Year 2",'Hourly Usage'!$B$4:$B$63,$N83,'Hourly Usage'!$C$4:$C$63,$O83)</f>
        <v>0.999999999999999</v>
      </c>
      <c r="T83" s="16" t="n">
        <f aca="false">ABS(Q83-R83)</f>
        <v>0</v>
      </c>
      <c r="U83" s="16" t="n">
        <f aca="false">ABS(Q83-S83)</f>
        <v>0</v>
      </c>
      <c r="V83" s="15" t="n">
        <f aca="false">IF(R83&gt;=$B$7-0.000001,1,0)</f>
        <v>1</v>
      </c>
      <c r="W83" s="15" t="n">
        <f aca="false">IF(Q83&gt;=$B$7-0.000001,1,0)</f>
        <v>1</v>
      </c>
      <c r="X83" s="15" t="n">
        <f aca="false">IF(V83=W83,1,0)</f>
        <v>1</v>
      </c>
      <c r="Y83" s="15" t="n">
        <f aca="false">IF(IF(S83&gt;=$B$7-0.000001,1,0)=W83,1,0)</f>
        <v>1</v>
      </c>
    </row>
    <row r="84" customFormat="false" ht="15" hidden="false" customHeight="false" outlineLevel="0" collapsed="false">
      <c r="N84" s="0" t="s">
        <v>43</v>
      </c>
      <c r="O84" s="0" t="s">
        <v>117</v>
      </c>
      <c r="P84" s="0" t="s">
        <v>91</v>
      </c>
      <c r="Q84" s="16" t="n">
        <f aca="false">SUMIFS('Hourly Usage'!L$4:L$63,'Hourly Usage'!$A$4:$A$63,"Year 3",'Hourly Usage'!$B$4:$B$63,$N84,'Hourly Usage'!$C$4:$C$63,$O84)</f>
        <v>0</v>
      </c>
      <c r="R84" s="16" t="n">
        <f aca="false">$B$5*SUMIFS('Hourly Usage'!L$4:L$63,'Hourly Usage'!$A$4:$A$63,"Year 1",'Hourly Usage'!$B$4:$B$63,$N84,'Hourly Usage'!$C$4:$C$63,$O84)+$B$6*SUMIFS('Hourly Usage'!L$4:L$63,'Hourly Usage'!$A$4:$A$63,"Year 2",'Hourly Usage'!$B$4:$B$63,$N84,'Hourly Usage'!$C$4:$C$63,$O84)</f>
        <v>0.200000000000001</v>
      </c>
      <c r="S84" s="16" t="n">
        <f aca="false">SUMIFS('Hourly Usage'!L$4:L$63,'Hourly Usage'!$A$4:$A$63,"Year 2",'Hourly Usage'!$B$4:$B$63,$N84,'Hourly Usage'!$C$4:$C$63,$O84)</f>
        <v>0</v>
      </c>
      <c r="T84" s="16" t="n">
        <f aca="false">ABS(Q84-R84)</f>
        <v>0.200000000000001</v>
      </c>
      <c r="U84" s="16" t="n">
        <f aca="false">ABS(Q84-S84)</f>
        <v>0</v>
      </c>
      <c r="V84" s="15" t="n">
        <f aca="false">IF(R84&gt;=$B$7-0.000001,1,0)</f>
        <v>0</v>
      </c>
      <c r="W84" s="15" t="n">
        <f aca="false">IF(Q84&gt;=$B$7-0.000001,1,0)</f>
        <v>0</v>
      </c>
      <c r="X84" s="15" t="n">
        <f aca="false">IF(V84=W84,1,0)</f>
        <v>1</v>
      </c>
      <c r="Y84" s="15" t="n">
        <f aca="false">IF(IF(S84&gt;=$B$7-0.000001,1,0)=W84,1,0)</f>
        <v>1</v>
      </c>
    </row>
    <row r="85" customFormat="false" ht="15" hidden="false" customHeight="false" outlineLevel="0" collapsed="false">
      <c r="N85" s="0" t="s">
        <v>43</v>
      </c>
      <c r="O85" s="0" t="s">
        <v>118</v>
      </c>
      <c r="P85" s="0" t="s">
        <v>71</v>
      </c>
      <c r="Q85" s="16" t="n">
        <f aca="false">SUMIFS('Hourly Usage'!D$4:D$63,'Hourly Usage'!$A$4:$A$63,"Year 3",'Hourly Usage'!$B$4:$B$63,$N85,'Hourly Usage'!$C$4:$C$63,$O85)</f>
        <v>0</v>
      </c>
      <c r="R85" s="16" t="n">
        <f aca="false">$B$5*SUMIFS('Hourly Usage'!D$4:D$63,'Hourly Usage'!$A$4:$A$63,"Year 1",'Hourly Usage'!$B$4:$B$63,$N85,'Hourly Usage'!$C$4:$C$63,$O85)+$B$6*SUMIFS('Hourly Usage'!D$4:D$63,'Hourly Usage'!$A$4:$A$63,"Year 2",'Hourly Usage'!$B$4:$B$63,$N85,'Hourly Usage'!$C$4:$C$63,$O85)</f>
        <v>0</v>
      </c>
      <c r="S85" s="16" t="n">
        <f aca="false">SUMIFS('Hourly Usage'!D$4:D$63,'Hourly Usage'!$A$4:$A$63,"Year 2",'Hourly Usage'!$B$4:$B$63,$N85,'Hourly Usage'!$C$4:$C$63,$O85)</f>
        <v>0</v>
      </c>
      <c r="T85" s="16" t="n">
        <f aca="false">ABS(Q85-R85)</f>
        <v>0</v>
      </c>
      <c r="U85" s="16" t="n">
        <f aca="false">ABS(Q85-S85)</f>
        <v>0</v>
      </c>
      <c r="V85" s="15" t="n">
        <f aca="false">IF(R85&gt;=$B$7-0.000001,1,0)</f>
        <v>0</v>
      </c>
      <c r="W85" s="15" t="n">
        <f aca="false">IF(Q85&gt;=$B$7-0.000001,1,0)</f>
        <v>0</v>
      </c>
      <c r="X85" s="15" t="n">
        <f aca="false">IF(V85=W85,1,0)</f>
        <v>1</v>
      </c>
      <c r="Y85" s="15" t="n">
        <f aca="false">IF(IF(S85&gt;=$B$7-0.000001,1,0)=W85,1,0)</f>
        <v>1</v>
      </c>
    </row>
    <row r="86" customFormat="false" ht="15" hidden="false" customHeight="false" outlineLevel="0" collapsed="false">
      <c r="N86" s="0" t="s">
        <v>43</v>
      </c>
      <c r="O86" s="0" t="s">
        <v>118</v>
      </c>
      <c r="P86" s="0" t="s">
        <v>74</v>
      </c>
      <c r="Q86" s="16" t="n">
        <f aca="false">SUMIFS('Hourly Usage'!E$4:E$63,'Hourly Usage'!$A$4:$A$63,"Year 3",'Hourly Usage'!$B$4:$B$63,$N86,'Hourly Usage'!$C$4:$C$63,$O86)</f>
        <v>1</v>
      </c>
      <c r="R86" s="16" t="n">
        <f aca="false">$B$5*SUMIFS('Hourly Usage'!E$4:E$63,'Hourly Usage'!$A$4:$A$63,"Year 1",'Hourly Usage'!$B$4:$B$63,$N86,'Hourly Usage'!$C$4:$C$63,$O86)+$B$6*SUMIFS('Hourly Usage'!E$4:E$63,'Hourly Usage'!$A$4:$A$63,"Year 2",'Hourly Usage'!$B$4:$B$63,$N86,'Hourly Usage'!$C$4:$C$63,$O86)</f>
        <v>0</v>
      </c>
      <c r="S86" s="16" t="n">
        <f aca="false">SUMIFS('Hourly Usage'!E$4:E$63,'Hourly Usage'!$A$4:$A$63,"Year 2",'Hourly Usage'!$B$4:$B$63,$N86,'Hourly Usage'!$C$4:$C$63,$O86)</f>
        <v>0</v>
      </c>
      <c r="T86" s="16" t="n">
        <f aca="false">ABS(Q86-R86)</f>
        <v>1</v>
      </c>
      <c r="U86" s="16" t="n">
        <f aca="false">ABS(Q86-S86)</f>
        <v>1</v>
      </c>
      <c r="V86" s="15" t="n">
        <f aca="false">IF(R86&gt;=$B$7-0.000001,1,0)</f>
        <v>0</v>
      </c>
      <c r="W86" s="15" t="n">
        <f aca="false">IF(Q86&gt;=$B$7-0.000001,1,0)</f>
        <v>1</v>
      </c>
      <c r="X86" s="15" t="n">
        <f aca="false">IF(V86=W86,1,0)</f>
        <v>0</v>
      </c>
      <c r="Y86" s="15" t="n">
        <f aca="false">IF(IF(S86&gt;=$B$7-0.000001,1,0)=W86,1,0)</f>
        <v>0</v>
      </c>
    </row>
    <row r="87" customFormat="false" ht="15" hidden="false" customHeight="false" outlineLevel="0" collapsed="false">
      <c r="N87" s="0" t="s">
        <v>43</v>
      </c>
      <c r="O87" s="0" t="s">
        <v>118</v>
      </c>
      <c r="P87" s="0" t="s">
        <v>76</v>
      </c>
      <c r="Q87" s="16" t="n">
        <f aca="false">SUMIFS('Hourly Usage'!F$4:F$63,'Hourly Usage'!$A$4:$A$63,"Year 3",'Hourly Usage'!$B$4:$B$63,$N87,'Hourly Usage'!$C$4:$C$63,$O87)</f>
        <v>0.999999999999998</v>
      </c>
      <c r="R87" s="16" t="n">
        <f aca="false">$B$5*SUMIFS('Hourly Usage'!F$4:F$63,'Hourly Usage'!$A$4:$A$63,"Year 1",'Hourly Usage'!$B$4:$B$63,$N87,'Hourly Usage'!$C$4:$C$63,$O87)+$B$6*SUMIFS('Hourly Usage'!F$4:F$63,'Hourly Usage'!$A$4:$A$63,"Year 2",'Hourly Usage'!$B$4:$B$63,$N87,'Hourly Usage'!$C$4:$C$63,$O87)</f>
        <v>0</v>
      </c>
      <c r="S87" s="16" t="n">
        <f aca="false">SUMIFS('Hourly Usage'!F$4:F$63,'Hourly Usage'!$A$4:$A$63,"Year 2",'Hourly Usage'!$B$4:$B$63,$N87,'Hourly Usage'!$C$4:$C$63,$O87)</f>
        <v>0</v>
      </c>
      <c r="T87" s="16" t="n">
        <f aca="false">ABS(Q87-R87)</f>
        <v>0.999999999999998</v>
      </c>
      <c r="U87" s="16" t="n">
        <f aca="false">ABS(Q87-S87)</f>
        <v>0.999999999999998</v>
      </c>
      <c r="V87" s="15" t="n">
        <f aca="false">IF(R87&gt;=$B$7-0.000001,1,0)</f>
        <v>0</v>
      </c>
      <c r="W87" s="15" t="n">
        <f aca="false">IF(Q87&gt;=$B$7-0.000001,1,0)</f>
        <v>1</v>
      </c>
      <c r="X87" s="15" t="n">
        <f aca="false">IF(V87=W87,1,0)</f>
        <v>0</v>
      </c>
      <c r="Y87" s="15" t="n">
        <f aca="false">IF(IF(S87&gt;=$B$7-0.000001,1,0)=W87,1,0)</f>
        <v>0</v>
      </c>
    </row>
    <row r="88" customFormat="false" ht="15" hidden="false" customHeight="false" outlineLevel="0" collapsed="false">
      <c r="N88" s="0" t="s">
        <v>43</v>
      </c>
      <c r="O88" s="0" t="s">
        <v>118</v>
      </c>
      <c r="P88" s="0" t="s">
        <v>78</v>
      </c>
      <c r="Q88" s="16" t="n">
        <f aca="false">SUMIFS('Hourly Usage'!G$4:G$63,'Hourly Usage'!$A$4:$A$63,"Year 3",'Hourly Usage'!$B$4:$B$63,$N88,'Hourly Usage'!$C$4:$C$63,$O88)</f>
        <v>0.500000000000004</v>
      </c>
      <c r="R88" s="16" t="n">
        <f aca="false">$B$5*SUMIFS('Hourly Usage'!G$4:G$63,'Hourly Usage'!$A$4:$A$63,"Year 1",'Hourly Usage'!$B$4:$B$63,$N88,'Hourly Usage'!$C$4:$C$63,$O88)+$B$6*SUMIFS('Hourly Usage'!G$4:G$63,'Hourly Usage'!$A$4:$A$63,"Year 2",'Hourly Usage'!$B$4:$B$63,$N88,'Hourly Usage'!$C$4:$C$63,$O88)</f>
        <v>0.199999999999999</v>
      </c>
      <c r="S88" s="16" t="n">
        <f aca="false">SUMIFS('Hourly Usage'!G$4:G$63,'Hourly Usage'!$A$4:$A$63,"Year 2",'Hourly Usage'!$B$4:$B$63,$N88,'Hourly Usage'!$C$4:$C$63,$O88)</f>
        <v>0</v>
      </c>
      <c r="T88" s="16" t="n">
        <f aca="false">ABS(Q88-R88)</f>
        <v>0.300000000000004</v>
      </c>
      <c r="U88" s="16" t="n">
        <f aca="false">ABS(Q88-S88)</f>
        <v>0.500000000000004</v>
      </c>
      <c r="V88" s="15" t="n">
        <f aca="false">IF(R88&gt;=$B$7-0.000001,1,0)</f>
        <v>0</v>
      </c>
      <c r="W88" s="15" t="n">
        <f aca="false">IF(Q88&gt;=$B$7-0.000001,1,0)</f>
        <v>1</v>
      </c>
      <c r="X88" s="15" t="n">
        <f aca="false">IF(V88=W88,1,0)</f>
        <v>0</v>
      </c>
      <c r="Y88" s="15" t="n">
        <f aca="false">IF(IF(S88&gt;=$B$7-0.000001,1,0)=W88,1,0)</f>
        <v>0</v>
      </c>
    </row>
    <row r="89" customFormat="false" ht="15" hidden="false" customHeight="false" outlineLevel="0" collapsed="false">
      <c r="N89" s="0" t="s">
        <v>43</v>
      </c>
      <c r="O89" s="0" t="s">
        <v>118</v>
      </c>
      <c r="P89" s="0" t="s">
        <v>79</v>
      </c>
      <c r="Q89" s="16" t="n">
        <f aca="false">SUMIFS('Hourly Usage'!H$4:H$63,'Hourly Usage'!$A$4:$A$63,"Year 3",'Hourly Usage'!$B$4:$B$63,$N89,'Hourly Usage'!$C$4:$C$63,$O89)</f>
        <v>0.999999999999996</v>
      </c>
      <c r="R89" s="16" t="n">
        <f aca="false">$B$5*SUMIFS('Hourly Usage'!H$4:H$63,'Hourly Usage'!$A$4:$A$63,"Year 1",'Hourly Usage'!$B$4:$B$63,$N89,'Hourly Usage'!$C$4:$C$63,$O89)+$B$6*SUMIFS('Hourly Usage'!H$4:H$63,'Hourly Usage'!$A$4:$A$63,"Year 2",'Hourly Usage'!$B$4:$B$63,$N89,'Hourly Usage'!$C$4:$C$63,$O89)</f>
        <v>0.4</v>
      </c>
      <c r="S89" s="16" t="n">
        <f aca="false">SUMIFS('Hourly Usage'!H$4:H$63,'Hourly Usage'!$A$4:$A$63,"Year 2",'Hourly Usage'!$B$4:$B$63,$N89,'Hourly Usage'!$C$4:$C$63,$O89)</f>
        <v>0</v>
      </c>
      <c r="T89" s="16" t="n">
        <f aca="false">ABS(Q89-R89)</f>
        <v>0.599999999999997</v>
      </c>
      <c r="U89" s="16" t="n">
        <f aca="false">ABS(Q89-S89)</f>
        <v>0.999999999999996</v>
      </c>
      <c r="V89" s="15" t="n">
        <f aca="false">IF(R89&gt;=$B$7-0.000001,1,0)</f>
        <v>0</v>
      </c>
      <c r="W89" s="15" t="n">
        <f aca="false">IF(Q89&gt;=$B$7-0.000001,1,0)</f>
        <v>1</v>
      </c>
      <c r="X89" s="15" t="n">
        <f aca="false">IF(V89=W89,1,0)</f>
        <v>0</v>
      </c>
      <c r="Y89" s="15" t="n">
        <f aca="false">IF(IF(S89&gt;=$B$7-0.000001,1,0)=W89,1,0)</f>
        <v>0</v>
      </c>
    </row>
    <row r="90" customFormat="false" ht="15" hidden="false" customHeight="false" outlineLevel="0" collapsed="false">
      <c r="N90" s="0" t="s">
        <v>43</v>
      </c>
      <c r="O90" s="0" t="s">
        <v>118</v>
      </c>
      <c r="P90" s="0" t="s">
        <v>81</v>
      </c>
      <c r="Q90" s="16" t="n">
        <f aca="false">SUMIFS('Hourly Usage'!I$4:I$63,'Hourly Usage'!$A$4:$A$63,"Year 3",'Hourly Usage'!$B$4:$B$63,$N90,'Hourly Usage'!$C$4:$C$63,$O90)</f>
        <v>0.500000000000004</v>
      </c>
      <c r="R90" s="16" t="n">
        <f aca="false">$B$5*SUMIFS('Hourly Usage'!I$4:I$63,'Hourly Usage'!$A$4:$A$63,"Year 1",'Hourly Usage'!$B$4:$B$63,$N90,'Hourly Usage'!$C$4:$C$63,$O90)+$B$6*SUMIFS('Hourly Usage'!I$4:I$63,'Hourly Usage'!$A$4:$A$63,"Year 2",'Hourly Usage'!$B$4:$B$63,$N90,'Hourly Usage'!$C$4:$C$63,$O90)</f>
        <v>0.6</v>
      </c>
      <c r="S90" s="16" t="n">
        <f aca="false">SUMIFS('Hourly Usage'!I$4:I$63,'Hourly Usage'!$A$4:$A$63,"Year 2",'Hourly Usage'!$B$4:$B$63,$N90,'Hourly Usage'!$C$4:$C$63,$O90)</f>
        <v>1</v>
      </c>
      <c r="T90" s="16" t="n">
        <f aca="false">ABS(Q90-R90)</f>
        <v>0.0999999999999964</v>
      </c>
      <c r="U90" s="16" t="n">
        <f aca="false">ABS(Q90-S90)</f>
        <v>0.499999999999996</v>
      </c>
      <c r="V90" s="15" t="n">
        <f aca="false">IF(R90&gt;=$B$7-0.000001,1,0)</f>
        <v>1</v>
      </c>
      <c r="W90" s="15" t="n">
        <f aca="false">IF(Q90&gt;=$B$7-0.000001,1,0)</f>
        <v>1</v>
      </c>
      <c r="X90" s="15" t="n">
        <f aca="false">IF(V90=W90,1,0)</f>
        <v>1</v>
      </c>
      <c r="Y90" s="15" t="n">
        <f aca="false">IF(IF(S90&gt;=$B$7-0.000001,1,0)=W90,1,0)</f>
        <v>1</v>
      </c>
    </row>
    <row r="91" customFormat="false" ht="15" hidden="false" customHeight="false" outlineLevel="0" collapsed="false">
      <c r="N91" s="0" t="s">
        <v>43</v>
      </c>
      <c r="O91" s="0" t="s">
        <v>118</v>
      </c>
      <c r="P91" s="0" t="s">
        <v>85</v>
      </c>
      <c r="Q91" s="16" t="n">
        <f aca="false">SUMIFS('Hourly Usage'!J$4:J$63,'Hourly Usage'!$A$4:$A$63,"Year 3",'Hourly Usage'!$B$4:$B$63,$N91,'Hourly Usage'!$C$4:$C$63,$O91)</f>
        <v>0</v>
      </c>
      <c r="R91" s="16" t="n">
        <f aca="false">$B$5*SUMIFS('Hourly Usage'!J$4:J$63,'Hourly Usage'!$A$4:$A$63,"Year 1",'Hourly Usage'!$B$4:$B$63,$N91,'Hourly Usage'!$C$4:$C$63,$O91)+$B$6*SUMIFS('Hourly Usage'!J$4:J$63,'Hourly Usage'!$A$4:$A$63,"Year 2",'Hourly Usage'!$B$4:$B$63,$N91,'Hourly Usage'!$C$4:$C$63,$O91)</f>
        <v>0.599999999999999</v>
      </c>
      <c r="S91" s="16" t="n">
        <f aca="false">SUMIFS('Hourly Usage'!J$4:J$63,'Hourly Usage'!$A$4:$A$63,"Year 2",'Hourly Usage'!$B$4:$B$63,$N91,'Hourly Usage'!$C$4:$C$63,$O91)</f>
        <v>0.999999999999999</v>
      </c>
      <c r="T91" s="16" t="n">
        <f aca="false">ABS(Q91-R91)</f>
        <v>0.599999999999999</v>
      </c>
      <c r="U91" s="16" t="n">
        <f aca="false">ABS(Q91-S91)</f>
        <v>0.999999999999999</v>
      </c>
      <c r="V91" s="15" t="n">
        <f aca="false">IF(R91&gt;=$B$7-0.000001,1,0)</f>
        <v>1</v>
      </c>
      <c r="W91" s="15" t="n">
        <f aca="false">IF(Q91&gt;=$B$7-0.000001,1,0)</f>
        <v>0</v>
      </c>
      <c r="X91" s="15" t="n">
        <f aca="false">IF(V91=W91,1,0)</f>
        <v>0</v>
      </c>
      <c r="Y91" s="15" t="n">
        <f aca="false">IF(IF(S91&gt;=$B$7-0.000001,1,0)=W91,1,0)</f>
        <v>0</v>
      </c>
    </row>
    <row r="92" customFormat="false" ht="15" hidden="false" customHeight="false" outlineLevel="0" collapsed="false">
      <c r="N92" s="0" t="s">
        <v>43</v>
      </c>
      <c r="O92" s="0" t="s">
        <v>118</v>
      </c>
      <c r="P92" s="0" t="s">
        <v>88</v>
      </c>
      <c r="Q92" s="16" t="n">
        <f aca="false">SUMIFS('Hourly Usage'!K$4:K$63,'Hourly Usage'!$A$4:$A$63,"Year 3",'Hourly Usage'!$B$4:$B$63,$N92,'Hourly Usage'!$C$4:$C$63,$O92)</f>
        <v>0.499999999999996</v>
      </c>
      <c r="R92" s="16" t="n">
        <f aca="false">$B$5*SUMIFS('Hourly Usage'!K$4:K$63,'Hourly Usage'!$A$4:$A$63,"Year 1",'Hourly Usage'!$B$4:$B$63,$N92,'Hourly Usage'!$C$4:$C$63,$O92)+$B$6*SUMIFS('Hourly Usage'!K$4:K$63,'Hourly Usage'!$A$4:$A$63,"Year 2",'Hourly Usage'!$B$4:$B$63,$N92,'Hourly Usage'!$C$4:$C$63,$O92)</f>
        <v>0.999999999999999</v>
      </c>
      <c r="S92" s="16" t="n">
        <f aca="false">SUMIFS('Hourly Usage'!K$4:K$63,'Hourly Usage'!$A$4:$A$63,"Year 2",'Hourly Usage'!$B$4:$B$63,$N92,'Hourly Usage'!$C$4:$C$63,$O92)</f>
        <v>0.999999999999999</v>
      </c>
      <c r="T92" s="16" t="n">
        <f aca="false">ABS(Q92-R92)</f>
        <v>0.500000000000004</v>
      </c>
      <c r="U92" s="16" t="n">
        <f aca="false">ABS(Q92-S92)</f>
        <v>0.500000000000004</v>
      </c>
      <c r="V92" s="15" t="n">
        <f aca="false">IF(R92&gt;=$B$7-0.000001,1,0)</f>
        <v>1</v>
      </c>
      <c r="W92" s="15" t="n">
        <f aca="false">IF(Q92&gt;=$B$7-0.000001,1,0)</f>
        <v>1</v>
      </c>
      <c r="X92" s="15" t="n">
        <f aca="false">IF(V92=W92,1,0)</f>
        <v>1</v>
      </c>
      <c r="Y92" s="15" t="n">
        <f aca="false">IF(IF(S92&gt;=$B$7-0.000001,1,0)=W92,1,0)</f>
        <v>1</v>
      </c>
    </row>
    <row r="93" customFormat="false" ht="15" hidden="false" customHeight="false" outlineLevel="0" collapsed="false">
      <c r="N93" s="0" t="s">
        <v>43</v>
      </c>
      <c r="O93" s="0" t="s">
        <v>118</v>
      </c>
      <c r="P93" s="0" t="s">
        <v>91</v>
      </c>
      <c r="Q93" s="16" t="n">
        <f aca="false">SUMIFS('Hourly Usage'!L$4:L$63,'Hourly Usage'!$A$4:$A$63,"Year 3",'Hourly Usage'!$B$4:$B$63,$N93,'Hourly Usage'!$C$4:$C$63,$O93)</f>
        <v>1</v>
      </c>
      <c r="R93" s="16" t="n">
        <f aca="false">$B$5*SUMIFS('Hourly Usage'!L$4:L$63,'Hourly Usage'!$A$4:$A$63,"Year 1",'Hourly Usage'!$B$4:$B$63,$N93,'Hourly Usage'!$C$4:$C$63,$O93)+$B$6*SUMIFS('Hourly Usage'!L$4:L$63,'Hourly Usage'!$A$4:$A$63,"Year 2",'Hourly Usage'!$B$4:$B$63,$N93,'Hourly Usage'!$C$4:$C$63,$O93)</f>
        <v>1</v>
      </c>
      <c r="S93" s="16" t="n">
        <f aca="false">SUMIFS('Hourly Usage'!L$4:L$63,'Hourly Usage'!$A$4:$A$63,"Year 2",'Hourly Usage'!$B$4:$B$63,$N93,'Hourly Usage'!$C$4:$C$63,$O93)</f>
        <v>1</v>
      </c>
      <c r="T93" s="16" t="n">
        <f aca="false">ABS(Q93-R93)</f>
        <v>0</v>
      </c>
      <c r="U93" s="16" t="n">
        <f aca="false">ABS(Q93-S93)</f>
        <v>0</v>
      </c>
      <c r="V93" s="15" t="n">
        <f aca="false">IF(R93&gt;=$B$7-0.000001,1,0)</f>
        <v>1</v>
      </c>
      <c r="W93" s="15" t="n">
        <f aca="false">IF(Q93&gt;=$B$7-0.000001,1,0)</f>
        <v>1</v>
      </c>
      <c r="X93" s="15" t="n">
        <f aca="false">IF(V93=W93,1,0)</f>
        <v>1</v>
      </c>
      <c r="Y93" s="15" t="n">
        <f aca="false">IF(IF(S93&gt;=$B$7-0.000001,1,0)=W93,1,0)</f>
        <v>1</v>
      </c>
    </row>
    <row r="94" customFormat="false" ht="15" hidden="false" customHeight="false" outlineLevel="0" collapsed="false">
      <c r="N94" s="0" t="s">
        <v>44</v>
      </c>
      <c r="O94" s="0" t="s">
        <v>70</v>
      </c>
      <c r="P94" s="0" t="s">
        <v>71</v>
      </c>
      <c r="Q94" s="16" t="n">
        <f aca="false">SUMIFS('Hourly Usage'!D$4:D$63,'Hourly Usage'!$A$4:$A$63,"Year 3",'Hourly Usage'!$B$4:$B$63,$N94,'Hourly Usage'!$C$4:$C$63,$O94)</f>
        <v>0</v>
      </c>
      <c r="R94" s="16" t="n">
        <f aca="false">$B$5*SUMIFS('Hourly Usage'!D$4:D$63,'Hourly Usage'!$A$4:$A$63,"Year 1",'Hourly Usage'!$B$4:$B$63,$N94,'Hourly Usage'!$C$4:$C$63,$O94)+$B$6*SUMIFS('Hourly Usage'!D$4:D$63,'Hourly Usage'!$A$4:$A$63,"Year 2",'Hourly Usage'!$B$4:$B$63,$N94,'Hourly Usage'!$C$4:$C$63,$O94)</f>
        <v>0</v>
      </c>
      <c r="S94" s="16" t="n">
        <f aca="false">SUMIFS('Hourly Usage'!D$4:D$63,'Hourly Usage'!$A$4:$A$63,"Year 2",'Hourly Usage'!$B$4:$B$63,$N94,'Hourly Usage'!$C$4:$C$63,$O94)</f>
        <v>0</v>
      </c>
      <c r="T94" s="16" t="n">
        <f aca="false">ABS(Q94-R94)</f>
        <v>0</v>
      </c>
      <c r="U94" s="16" t="n">
        <f aca="false">ABS(Q94-S94)</f>
        <v>0</v>
      </c>
      <c r="V94" s="15" t="n">
        <f aca="false">IF(R94&gt;=$B$7-0.000001,1,0)</f>
        <v>0</v>
      </c>
      <c r="W94" s="15" t="n">
        <f aca="false">IF(Q94&gt;=$B$7-0.000001,1,0)</f>
        <v>0</v>
      </c>
      <c r="X94" s="15" t="n">
        <f aca="false">IF(V94=W94,1,0)</f>
        <v>1</v>
      </c>
      <c r="Y94" s="15" t="n">
        <f aca="false">IF(IF(S94&gt;=$B$7-0.000001,1,0)=W94,1,0)</f>
        <v>1</v>
      </c>
    </row>
    <row r="95" customFormat="false" ht="15" hidden="false" customHeight="false" outlineLevel="0" collapsed="false">
      <c r="N95" s="0" t="s">
        <v>44</v>
      </c>
      <c r="O95" s="0" t="s">
        <v>70</v>
      </c>
      <c r="P95" s="0" t="s">
        <v>74</v>
      </c>
      <c r="Q95" s="16" t="n">
        <f aca="false">SUMIFS('Hourly Usage'!E$4:E$63,'Hourly Usage'!$A$4:$A$63,"Year 3",'Hourly Usage'!$B$4:$B$63,$N95,'Hourly Usage'!$C$4:$C$63,$O95)</f>
        <v>1</v>
      </c>
      <c r="R95" s="16" t="n">
        <f aca="false">$B$5*SUMIFS('Hourly Usage'!E$4:E$63,'Hourly Usage'!$A$4:$A$63,"Year 1",'Hourly Usage'!$B$4:$B$63,$N95,'Hourly Usage'!$C$4:$C$63,$O95)+$B$6*SUMIFS('Hourly Usage'!E$4:E$63,'Hourly Usage'!$A$4:$A$63,"Year 2",'Hourly Usage'!$B$4:$B$63,$N95,'Hourly Usage'!$C$4:$C$63,$O95)</f>
        <v>0</v>
      </c>
      <c r="S95" s="16" t="n">
        <f aca="false">SUMIFS('Hourly Usage'!E$4:E$63,'Hourly Usage'!$A$4:$A$63,"Year 2",'Hourly Usage'!$B$4:$B$63,$N95,'Hourly Usage'!$C$4:$C$63,$O95)</f>
        <v>0</v>
      </c>
      <c r="T95" s="16" t="n">
        <f aca="false">ABS(Q95-R95)</f>
        <v>1</v>
      </c>
      <c r="U95" s="16" t="n">
        <f aca="false">ABS(Q95-S95)</f>
        <v>1</v>
      </c>
      <c r="V95" s="15" t="n">
        <f aca="false">IF(R95&gt;=$B$7-0.000001,1,0)</f>
        <v>0</v>
      </c>
      <c r="W95" s="15" t="n">
        <f aca="false">IF(Q95&gt;=$B$7-0.000001,1,0)</f>
        <v>1</v>
      </c>
      <c r="X95" s="15" t="n">
        <f aca="false">IF(V95=W95,1,0)</f>
        <v>0</v>
      </c>
      <c r="Y95" s="15" t="n">
        <f aca="false">IF(IF(S95&gt;=$B$7-0.000001,1,0)=W95,1,0)</f>
        <v>0</v>
      </c>
    </row>
    <row r="96" customFormat="false" ht="15" hidden="false" customHeight="false" outlineLevel="0" collapsed="false">
      <c r="N96" s="0" t="s">
        <v>44</v>
      </c>
      <c r="O96" s="0" t="s">
        <v>70</v>
      </c>
      <c r="P96" s="0" t="s">
        <v>76</v>
      </c>
      <c r="Q96" s="16" t="n">
        <f aca="false">SUMIFS('Hourly Usage'!F$4:F$63,'Hourly Usage'!$A$4:$A$63,"Year 3",'Hourly Usage'!$B$4:$B$63,$N96,'Hourly Usage'!$C$4:$C$63,$O96)</f>
        <v>0.499999999999998</v>
      </c>
      <c r="R96" s="16" t="n">
        <f aca="false">$B$5*SUMIFS('Hourly Usage'!F$4:F$63,'Hourly Usage'!$A$4:$A$63,"Year 1",'Hourly Usage'!$B$4:$B$63,$N96,'Hourly Usage'!$C$4:$C$63,$O96)+$B$6*SUMIFS('Hourly Usage'!F$4:F$63,'Hourly Usage'!$A$4:$A$63,"Year 2",'Hourly Usage'!$B$4:$B$63,$N96,'Hourly Usage'!$C$4:$C$63,$O96)</f>
        <v>0</v>
      </c>
      <c r="S96" s="16" t="n">
        <f aca="false">SUMIFS('Hourly Usage'!F$4:F$63,'Hourly Usage'!$A$4:$A$63,"Year 2",'Hourly Usage'!$B$4:$B$63,$N96,'Hourly Usage'!$C$4:$C$63,$O96)</f>
        <v>0</v>
      </c>
      <c r="T96" s="16" t="n">
        <f aca="false">ABS(Q96-R96)</f>
        <v>0.499999999999998</v>
      </c>
      <c r="U96" s="16" t="n">
        <f aca="false">ABS(Q96-S96)</f>
        <v>0.499999999999998</v>
      </c>
      <c r="V96" s="15" t="n">
        <f aca="false">IF(R96&gt;=$B$7-0.000001,1,0)</f>
        <v>0</v>
      </c>
      <c r="W96" s="15" t="n">
        <f aca="false">IF(Q96&gt;=$B$7-0.000001,1,0)</f>
        <v>1</v>
      </c>
      <c r="X96" s="15" t="n">
        <f aca="false">IF(V96=W96,1,0)</f>
        <v>0</v>
      </c>
      <c r="Y96" s="15" t="n">
        <f aca="false">IF(IF(S96&gt;=$B$7-0.000001,1,0)=W96,1,0)</f>
        <v>0</v>
      </c>
    </row>
    <row r="97" customFormat="false" ht="15" hidden="false" customHeight="false" outlineLevel="0" collapsed="false">
      <c r="N97" s="0" t="s">
        <v>44</v>
      </c>
      <c r="O97" s="0" t="s">
        <v>70</v>
      </c>
      <c r="P97" s="0" t="s">
        <v>78</v>
      </c>
      <c r="Q97" s="16" t="n">
        <f aca="false">SUMIFS('Hourly Usage'!G$4:G$63,'Hourly Usage'!$A$4:$A$63,"Year 3",'Hourly Usage'!$B$4:$B$63,$N97,'Hourly Usage'!$C$4:$C$63,$O97)</f>
        <v>0</v>
      </c>
      <c r="R97" s="16" t="n">
        <f aca="false">$B$5*SUMIFS('Hourly Usage'!G$4:G$63,'Hourly Usage'!$A$4:$A$63,"Year 1",'Hourly Usage'!$B$4:$B$63,$N97,'Hourly Usage'!$C$4:$C$63,$O97)+$B$6*SUMIFS('Hourly Usage'!G$4:G$63,'Hourly Usage'!$A$4:$A$63,"Year 2",'Hourly Usage'!$B$4:$B$63,$N97,'Hourly Usage'!$C$4:$C$63,$O97)</f>
        <v>0</v>
      </c>
      <c r="S97" s="16" t="n">
        <f aca="false">SUMIFS('Hourly Usage'!G$4:G$63,'Hourly Usage'!$A$4:$A$63,"Year 2",'Hourly Usage'!$B$4:$B$63,$N97,'Hourly Usage'!$C$4:$C$63,$O97)</f>
        <v>0</v>
      </c>
      <c r="T97" s="16" t="n">
        <f aca="false">ABS(Q97-R97)</f>
        <v>0</v>
      </c>
      <c r="U97" s="16" t="n">
        <f aca="false">ABS(Q97-S97)</f>
        <v>0</v>
      </c>
      <c r="V97" s="15" t="n">
        <f aca="false">IF(R97&gt;=$B$7-0.000001,1,0)</f>
        <v>0</v>
      </c>
      <c r="W97" s="15" t="n">
        <f aca="false">IF(Q97&gt;=$B$7-0.000001,1,0)</f>
        <v>0</v>
      </c>
      <c r="X97" s="15" t="n">
        <f aca="false">IF(V97=W97,1,0)</f>
        <v>1</v>
      </c>
      <c r="Y97" s="15" t="n">
        <f aca="false">IF(IF(S97&gt;=$B$7-0.000001,1,0)=W97,1,0)</f>
        <v>1</v>
      </c>
    </row>
    <row r="98" customFormat="false" ht="15" hidden="false" customHeight="false" outlineLevel="0" collapsed="false">
      <c r="N98" s="0" t="s">
        <v>44</v>
      </c>
      <c r="O98" s="0" t="s">
        <v>70</v>
      </c>
      <c r="P98" s="0" t="s">
        <v>79</v>
      </c>
      <c r="Q98" s="16" t="n">
        <f aca="false">SUMIFS('Hourly Usage'!H$4:H$63,'Hourly Usage'!$A$4:$A$63,"Year 3",'Hourly Usage'!$B$4:$B$63,$N98,'Hourly Usage'!$C$4:$C$63,$O98)</f>
        <v>0</v>
      </c>
      <c r="R98" s="16" t="n">
        <f aca="false">$B$5*SUMIFS('Hourly Usage'!H$4:H$63,'Hourly Usage'!$A$4:$A$63,"Year 1",'Hourly Usage'!$B$4:$B$63,$N98,'Hourly Usage'!$C$4:$C$63,$O98)+$B$6*SUMIFS('Hourly Usage'!H$4:H$63,'Hourly Usage'!$A$4:$A$63,"Year 2",'Hourly Usage'!$B$4:$B$63,$N98,'Hourly Usage'!$C$4:$C$63,$O98)</f>
        <v>0.599999999999999</v>
      </c>
      <c r="S98" s="16" t="n">
        <f aca="false">SUMIFS('Hourly Usage'!H$4:H$63,'Hourly Usage'!$A$4:$A$63,"Year 2",'Hourly Usage'!$B$4:$B$63,$N98,'Hourly Usage'!$C$4:$C$63,$O98)</f>
        <v>0.999999999999999</v>
      </c>
      <c r="T98" s="16" t="n">
        <f aca="false">ABS(Q98-R98)</f>
        <v>0.599999999999999</v>
      </c>
      <c r="U98" s="16" t="n">
        <f aca="false">ABS(Q98-S98)</f>
        <v>0.999999999999999</v>
      </c>
      <c r="V98" s="15" t="n">
        <f aca="false">IF(R98&gt;=$B$7-0.000001,1,0)</f>
        <v>1</v>
      </c>
      <c r="W98" s="15" t="n">
        <f aca="false">IF(Q98&gt;=$B$7-0.000001,1,0)</f>
        <v>0</v>
      </c>
      <c r="X98" s="15" t="n">
        <f aca="false">IF(V98=W98,1,0)</f>
        <v>0</v>
      </c>
      <c r="Y98" s="15" t="n">
        <f aca="false">IF(IF(S98&gt;=$B$7-0.000001,1,0)=W98,1,0)</f>
        <v>0</v>
      </c>
    </row>
    <row r="99" customFormat="false" ht="15" hidden="false" customHeight="false" outlineLevel="0" collapsed="false">
      <c r="N99" s="0" t="s">
        <v>44</v>
      </c>
      <c r="O99" s="0" t="s">
        <v>70</v>
      </c>
      <c r="P99" s="0" t="s">
        <v>81</v>
      </c>
      <c r="Q99" s="16" t="n">
        <f aca="false">SUMIFS('Hourly Usage'!I$4:I$63,'Hourly Usage'!$A$4:$A$63,"Year 3",'Hourly Usage'!$B$4:$B$63,$N99,'Hourly Usage'!$C$4:$C$63,$O99)</f>
        <v>0</v>
      </c>
      <c r="R99" s="16" t="n">
        <f aca="false">$B$5*SUMIFS('Hourly Usage'!I$4:I$63,'Hourly Usage'!$A$4:$A$63,"Year 1",'Hourly Usage'!$B$4:$B$63,$N99,'Hourly Usage'!$C$4:$C$63,$O99)+$B$6*SUMIFS('Hourly Usage'!I$4:I$63,'Hourly Usage'!$A$4:$A$63,"Year 2",'Hourly Usage'!$B$4:$B$63,$N99,'Hourly Usage'!$C$4:$C$63,$O99)</f>
        <v>0</v>
      </c>
      <c r="S99" s="16" t="n">
        <f aca="false">SUMIFS('Hourly Usage'!I$4:I$63,'Hourly Usage'!$A$4:$A$63,"Year 2",'Hourly Usage'!$B$4:$B$63,$N99,'Hourly Usage'!$C$4:$C$63,$O99)</f>
        <v>0</v>
      </c>
      <c r="T99" s="16" t="n">
        <f aca="false">ABS(Q99-R99)</f>
        <v>0</v>
      </c>
      <c r="U99" s="16" t="n">
        <f aca="false">ABS(Q99-S99)</f>
        <v>0</v>
      </c>
      <c r="V99" s="15" t="n">
        <f aca="false">IF(R99&gt;=$B$7-0.000001,1,0)</f>
        <v>0</v>
      </c>
      <c r="W99" s="15" t="n">
        <f aca="false">IF(Q99&gt;=$B$7-0.000001,1,0)</f>
        <v>0</v>
      </c>
      <c r="X99" s="15" t="n">
        <f aca="false">IF(V99=W99,1,0)</f>
        <v>1</v>
      </c>
      <c r="Y99" s="15" t="n">
        <f aca="false">IF(IF(S99&gt;=$B$7-0.000001,1,0)=W99,1,0)</f>
        <v>1</v>
      </c>
    </row>
    <row r="100" customFormat="false" ht="15" hidden="false" customHeight="false" outlineLevel="0" collapsed="false">
      <c r="N100" s="0" t="s">
        <v>44</v>
      </c>
      <c r="O100" s="0" t="s">
        <v>70</v>
      </c>
      <c r="P100" s="0" t="s">
        <v>85</v>
      </c>
      <c r="Q100" s="16" t="n">
        <f aca="false">SUMIFS('Hourly Usage'!J$4:J$63,'Hourly Usage'!$A$4:$A$63,"Year 3",'Hourly Usage'!$B$4:$B$63,$N100,'Hourly Usage'!$C$4:$C$63,$O100)</f>
        <v>0</v>
      </c>
      <c r="R100" s="16" t="n">
        <f aca="false">$B$5*SUMIFS('Hourly Usage'!J$4:J$63,'Hourly Usage'!$A$4:$A$63,"Year 1",'Hourly Usage'!$B$4:$B$63,$N100,'Hourly Usage'!$C$4:$C$63,$O100)+$B$6*SUMIFS('Hourly Usage'!J$4:J$63,'Hourly Usage'!$A$4:$A$63,"Year 2",'Hourly Usage'!$B$4:$B$63,$N100,'Hourly Usage'!$C$4:$C$63,$O100)</f>
        <v>0.4</v>
      </c>
      <c r="S100" s="16" t="n">
        <f aca="false">SUMIFS('Hourly Usage'!J$4:J$63,'Hourly Usage'!$A$4:$A$63,"Year 2",'Hourly Usage'!$B$4:$B$63,$N100,'Hourly Usage'!$C$4:$C$63,$O100)</f>
        <v>0</v>
      </c>
      <c r="T100" s="16" t="n">
        <f aca="false">ABS(Q100-R100)</f>
        <v>0.4</v>
      </c>
      <c r="U100" s="16" t="n">
        <f aca="false">ABS(Q100-S100)</f>
        <v>0</v>
      </c>
      <c r="V100" s="15" t="n">
        <f aca="false">IF(R100&gt;=$B$7-0.000001,1,0)</f>
        <v>0</v>
      </c>
      <c r="W100" s="15" t="n">
        <f aca="false">IF(Q100&gt;=$B$7-0.000001,1,0)</f>
        <v>0</v>
      </c>
      <c r="X100" s="15" t="n">
        <f aca="false">IF(V100=W100,1,0)</f>
        <v>1</v>
      </c>
      <c r="Y100" s="15" t="n">
        <f aca="false">IF(IF(S100&gt;=$B$7-0.000001,1,0)=W100,1,0)</f>
        <v>1</v>
      </c>
    </row>
    <row r="101" customFormat="false" ht="15" hidden="false" customHeight="false" outlineLevel="0" collapsed="false">
      <c r="N101" s="0" t="s">
        <v>44</v>
      </c>
      <c r="O101" s="0" t="s">
        <v>70</v>
      </c>
      <c r="P101" s="0" t="s">
        <v>88</v>
      </c>
      <c r="Q101" s="16" t="n">
        <f aca="false">SUMIFS('Hourly Usage'!K$4:K$63,'Hourly Usage'!$A$4:$A$63,"Year 3",'Hourly Usage'!$B$4:$B$63,$N101,'Hourly Usage'!$C$4:$C$63,$O101)</f>
        <v>0.499999999999996</v>
      </c>
      <c r="R101" s="16" t="n">
        <f aca="false">$B$5*SUMIFS('Hourly Usage'!K$4:K$63,'Hourly Usage'!$A$4:$A$63,"Year 1",'Hourly Usage'!$B$4:$B$63,$N101,'Hourly Usage'!$C$4:$C$63,$O101)+$B$6*SUMIFS('Hourly Usage'!K$4:K$63,'Hourly Usage'!$A$4:$A$63,"Year 2",'Hourly Usage'!$B$4:$B$63,$N101,'Hourly Usage'!$C$4:$C$63,$O101)</f>
        <v>0.499999999999996</v>
      </c>
      <c r="S101" s="16" t="n">
        <f aca="false">SUMIFS('Hourly Usage'!K$4:K$63,'Hourly Usage'!$A$4:$A$63,"Year 2",'Hourly Usage'!$B$4:$B$63,$N101,'Hourly Usage'!$C$4:$C$63,$O101)</f>
        <v>0.499999999999996</v>
      </c>
      <c r="T101" s="16" t="n">
        <f aca="false">ABS(Q101-R101)</f>
        <v>0</v>
      </c>
      <c r="U101" s="16" t="n">
        <f aca="false">ABS(Q101-S101)</f>
        <v>0</v>
      </c>
      <c r="V101" s="15" t="n">
        <f aca="false">IF(R101&gt;=$B$7-0.000001,1,0)</f>
        <v>1</v>
      </c>
      <c r="W101" s="15" t="n">
        <f aca="false">IF(Q101&gt;=$B$7-0.000001,1,0)</f>
        <v>1</v>
      </c>
      <c r="X101" s="15" t="n">
        <f aca="false">IF(V101=W101,1,0)</f>
        <v>1</v>
      </c>
      <c r="Y101" s="15" t="n">
        <f aca="false">IF(IF(S101&gt;=$B$7-0.000001,1,0)=W101,1,0)</f>
        <v>1</v>
      </c>
    </row>
    <row r="102" customFormat="false" ht="15" hidden="false" customHeight="false" outlineLevel="0" collapsed="false">
      <c r="N102" s="0" t="s">
        <v>44</v>
      </c>
      <c r="O102" s="0" t="s">
        <v>70</v>
      </c>
      <c r="P102" s="0" t="s">
        <v>91</v>
      </c>
      <c r="Q102" s="16" t="n">
        <f aca="false">SUMIFS('Hourly Usage'!L$4:L$63,'Hourly Usage'!$A$4:$A$63,"Year 3",'Hourly Usage'!$B$4:$B$63,$N102,'Hourly Usage'!$C$4:$C$63,$O102)</f>
        <v>1</v>
      </c>
      <c r="R102" s="16" t="n">
        <f aca="false">$B$5*SUMIFS('Hourly Usage'!L$4:L$63,'Hourly Usage'!$A$4:$A$63,"Year 1",'Hourly Usage'!$B$4:$B$63,$N102,'Hourly Usage'!$C$4:$C$63,$O102)+$B$6*SUMIFS('Hourly Usage'!L$4:L$63,'Hourly Usage'!$A$4:$A$63,"Year 2",'Hourly Usage'!$B$4:$B$63,$N102,'Hourly Usage'!$C$4:$C$63,$O102)</f>
        <v>1</v>
      </c>
      <c r="S102" s="16" t="n">
        <f aca="false">SUMIFS('Hourly Usage'!L$4:L$63,'Hourly Usage'!$A$4:$A$63,"Year 2",'Hourly Usage'!$B$4:$B$63,$N102,'Hourly Usage'!$C$4:$C$63,$O102)</f>
        <v>1</v>
      </c>
      <c r="T102" s="16" t="n">
        <f aca="false">ABS(Q102-R102)</f>
        <v>0</v>
      </c>
      <c r="U102" s="16" t="n">
        <f aca="false">ABS(Q102-S102)</f>
        <v>0</v>
      </c>
      <c r="V102" s="15" t="n">
        <f aca="false">IF(R102&gt;=$B$7-0.000001,1,0)</f>
        <v>1</v>
      </c>
      <c r="W102" s="15" t="n">
        <f aca="false">IF(Q102&gt;=$B$7-0.000001,1,0)</f>
        <v>1</v>
      </c>
      <c r="X102" s="15" t="n">
        <f aca="false">IF(V102=W102,1,0)</f>
        <v>1</v>
      </c>
      <c r="Y102" s="15" t="n">
        <f aca="false">IF(IF(S102&gt;=$B$7-0.000001,1,0)=W102,1,0)</f>
        <v>1</v>
      </c>
    </row>
    <row r="103" customFormat="false" ht="15" hidden="false" customHeight="false" outlineLevel="0" collapsed="false">
      <c r="N103" s="0" t="s">
        <v>44</v>
      </c>
      <c r="O103" s="0" t="s">
        <v>94</v>
      </c>
      <c r="P103" s="0" t="s">
        <v>71</v>
      </c>
      <c r="Q103" s="16" t="n">
        <f aca="false">SUMIFS('Hourly Usage'!D$4:D$63,'Hourly Usage'!$A$4:$A$63,"Year 3",'Hourly Usage'!$B$4:$B$63,$N103,'Hourly Usage'!$C$4:$C$63,$O103)</f>
        <v>0</v>
      </c>
      <c r="R103" s="16" t="n">
        <f aca="false">$B$5*SUMIFS('Hourly Usage'!D$4:D$63,'Hourly Usage'!$A$4:$A$63,"Year 1",'Hourly Usage'!$B$4:$B$63,$N103,'Hourly Usage'!$C$4:$C$63,$O103)+$B$6*SUMIFS('Hourly Usage'!D$4:D$63,'Hourly Usage'!$A$4:$A$63,"Year 2",'Hourly Usage'!$B$4:$B$63,$N103,'Hourly Usage'!$C$4:$C$63,$O103)</f>
        <v>0</v>
      </c>
      <c r="S103" s="16" t="n">
        <f aca="false">SUMIFS('Hourly Usage'!D$4:D$63,'Hourly Usage'!$A$4:$A$63,"Year 2",'Hourly Usage'!$B$4:$B$63,$N103,'Hourly Usage'!$C$4:$C$63,$O103)</f>
        <v>0</v>
      </c>
      <c r="T103" s="16" t="n">
        <f aca="false">ABS(Q103-R103)</f>
        <v>0</v>
      </c>
      <c r="U103" s="16" t="n">
        <f aca="false">ABS(Q103-S103)</f>
        <v>0</v>
      </c>
      <c r="V103" s="15" t="n">
        <f aca="false">IF(R103&gt;=$B$7-0.000001,1,0)</f>
        <v>0</v>
      </c>
      <c r="W103" s="15" t="n">
        <f aca="false">IF(Q103&gt;=$B$7-0.000001,1,0)</f>
        <v>0</v>
      </c>
      <c r="X103" s="15" t="n">
        <f aca="false">IF(V103=W103,1,0)</f>
        <v>1</v>
      </c>
      <c r="Y103" s="15" t="n">
        <f aca="false">IF(IF(S103&gt;=$B$7-0.000001,1,0)=W103,1,0)</f>
        <v>1</v>
      </c>
    </row>
    <row r="104" customFormat="false" ht="15" hidden="false" customHeight="false" outlineLevel="0" collapsed="false">
      <c r="N104" s="0" t="s">
        <v>44</v>
      </c>
      <c r="O104" s="0" t="s">
        <v>94</v>
      </c>
      <c r="P104" s="0" t="s">
        <v>74</v>
      </c>
      <c r="Q104" s="16" t="n">
        <f aca="false">SUMIFS('Hourly Usage'!E$4:E$63,'Hourly Usage'!$A$4:$A$63,"Year 3",'Hourly Usage'!$B$4:$B$63,$N104,'Hourly Usage'!$C$4:$C$63,$O104)</f>
        <v>0</v>
      </c>
      <c r="R104" s="16" t="n">
        <f aca="false">$B$5*SUMIFS('Hourly Usage'!E$4:E$63,'Hourly Usage'!$A$4:$A$63,"Year 1",'Hourly Usage'!$B$4:$B$63,$N104,'Hourly Usage'!$C$4:$C$63,$O104)+$B$6*SUMIFS('Hourly Usage'!E$4:E$63,'Hourly Usage'!$A$4:$A$63,"Year 2",'Hourly Usage'!$B$4:$B$63,$N104,'Hourly Usage'!$C$4:$C$63,$O104)</f>
        <v>0</v>
      </c>
      <c r="S104" s="16" t="n">
        <f aca="false">SUMIFS('Hourly Usage'!E$4:E$63,'Hourly Usage'!$A$4:$A$63,"Year 2",'Hourly Usage'!$B$4:$B$63,$N104,'Hourly Usage'!$C$4:$C$63,$O104)</f>
        <v>0</v>
      </c>
      <c r="T104" s="16" t="n">
        <f aca="false">ABS(Q104-R104)</f>
        <v>0</v>
      </c>
      <c r="U104" s="16" t="n">
        <f aca="false">ABS(Q104-S104)</f>
        <v>0</v>
      </c>
      <c r="V104" s="15" t="n">
        <f aca="false">IF(R104&gt;=$B$7-0.000001,1,0)</f>
        <v>0</v>
      </c>
      <c r="W104" s="15" t="n">
        <f aca="false">IF(Q104&gt;=$B$7-0.000001,1,0)</f>
        <v>0</v>
      </c>
      <c r="X104" s="15" t="n">
        <f aca="false">IF(V104=W104,1,0)</f>
        <v>1</v>
      </c>
      <c r="Y104" s="15" t="n">
        <f aca="false">IF(IF(S104&gt;=$B$7-0.000001,1,0)=W104,1,0)</f>
        <v>1</v>
      </c>
    </row>
    <row r="105" customFormat="false" ht="15" hidden="false" customHeight="false" outlineLevel="0" collapsed="false">
      <c r="N105" s="0" t="s">
        <v>44</v>
      </c>
      <c r="O105" s="0" t="s">
        <v>94</v>
      </c>
      <c r="P105" s="0" t="s">
        <v>76</v>
      </c>
      <c r="Q105" s="16" t="n">
        <f aca="false">SUMIFS('Hourly Usage'!F$4:F$63,'Hourly Usage'!$A$4:$A$63,"Year 3",'Hourly Usage'!$B$4:$B$63,$N105,'Hourly Usage'!$C$4:$C$63,$O105)</f>
        <v>0</v>
      </c>
      <c r="R105" s="16" t="n">
        <f aca="false">$B$5*SUMIFS('Hourly Usage'!F$4:F$63,'Hourly Usage'!$A$4:$A$63,"Year 1",'Hourly Usage'!$B$4:$B$63,$N105,'Hourly Usage'!$C$4:$C$63,$O105)+$B$6*SUMIFS('Hourly Usage'!F$4:F$63,'Hourly Usage'!$A$4:$A$63,"Year 2",'Hourly Usage'!$B$4:$B$63,$N105,'Hourly Usage'!$C$4:$C$63,$O105)</f>
        <v>0</v>
      </c>
      <c r="S105" s="16" t="n">
        <f aca="false">SUMIFS('Hourly Usage'!F$4:F$63,'Hourly Usage'!$A$4:$A$63,"Year 2",'Hourly Usage'!$B$4:$B$63,$N105,'Hourly Usage'!$C$4:$C$63,$O105)</f>
        <v>0</v>
      </c>
      <c r="T105" s="16" t="n">
        <f aca="false">ABS(Q105-R105)</f>
        <v>0</v>
      </c>
      <c r="U105" s="16" t="n">
        <f aca="false">ABS(Q105-S105)</f>
        <v>0</v>
      </c>
      <c r="V105" s="15" t="n">
        <f aca="false">IF(R105&gt;=$B$7-0.000001,1,0)</f>
        <v>0</v>
      </c>
      <c r="W105" s="15" t="n">
        <f aca="false">IF(Q105&gt;=$B$7-0.000001,1,0)</f>
        <v>0</v>
      </c>
      <c r="X105" s="15" t="n">
        <f aca="false">IF(V105=W105,1,0)</f>
        <v>1</v>
      </c>
      <c r="Y105" s="15" t="n">
        <f aca="false">IF(IF(S105&gt;=$B$7-0.000001,1,0)=W105,1,0)</f>
        <v>1</v>
      </c>
    </row>
    <row r="106" customFormat="false" ht="15" hidden="false" customHeight="false" outlineLevel="0" collapsed="false">
      <c r="N106" s="0" t="s">
        <v>44</v>
      </c>
      <c r="O106" s="0" t="s">
        <v>94</v>
      </c>
      <c r="P106" s="0" t="s">
        <v>78</v>
      </c>
      <c r="Q106" s="16" t="n">
        <f aca="false">SUMIFS('Hourly Usage'!G$4:G$63,'Hourly Usage'!$A$4:$A$63,"Year 3",'Hourly Usage'!$B$4:$B$63,$N106,'Hourly Usage'!$C$4:$C$63,$O106)</f>
        <v>0.499999999999998</v>
      </c>
      <c r="R106" s="16" t="n">
        <f aca="false">$B$5*SUMIFS('Hourly Usage'!G$4:G$63,'Hourly Usage'!$A$4:$A$63,"Year 1",'Hourly Usage'!$B$4:$B$63,$N106,'Hourly Usage'!$C$4:$C$63,$O106)+$B$6*SUMIFS('Hourly Usage'!G$4:G$63,'Hourly Usage'!$A$4:$A$63,"Year 2",'Hourly Usage'!$B$4:$B$63,$N106,'Hourly Usage'!$C$4:$C$63,$O106)</f>
        <v>0</v>
      </c>
      <c r="S106" s="16" t="n">
        <f aca="false">SUMIFS('Hourly Usage'!G$4:G$63,'Hourly Usage'!$A$4:$A$63,"Year 2",'Hourly Usage'!$B$4:$B$63,$N106,'Hourly Usage'!$C$4:$C$63,$O106)</f>
        <v>0</v>
      </c>
      <c r="T106" s="16" t="n">
        <f aca="false">ABS(Q106-R106)</f>
        <v>0.499999999999998</v>
      </c>
      <c r="U106" s="16" t="n">
        <f aca="false">ABS(Q106-S106)</f>
        <v>0.499999999999998</v>
      </c>
      <c r="V106" s="15" t="n">
        <f aca="false">IF(R106&gt;=$B$7-0.000001,1,0)</f>
        <v>0</v>
      </c>
      <c r="W106" s="15" t="n">
        <f aca="false">IF(Q106&gt;=$B$7-0.000001,1,0)</f>
        <v>1</v>
      </c>
      <c r="X106" s="15" t="n">
        <f aca="false">IF(V106=W106,1,0)</f>
        <v>0</v>
      </c>
      <c r="Y106" s="15" t="n">
        <f aca="false">IF(IF(S106&gt;=$B$7-0.000001,1,0)=W106,1,0)</f>
        <v>0</v>
      </c>
    </row>
    <row r="107" customFormat="false" ht="15" hidden="false" customHeight="false" outlineLevel="0" collapsed="false">
      <c r="N107" s="0" t="s">
        <v>44</v>
      </c>
      <c r="O107" s="0" t="s">
        <v>94</v>
      </c>
      <c r="P107" s="0" t="s">
        <v>79</v>
      </c>
      <c r="Q107" s="16" t="n">
        <f aca="false">SUMIFS('Hourly Usage'!H$4:H$63,'Hourly Usage'!$A$4:$A$63,"Year 3",'Hourly Usage'!$B$4:$B$63,$N107,'Hourly Usage'!$C$4:$C$63,$O107)</f>
        <v>0.999999999999999</v>
      </c>
      <c r="R107" s="16" t="n">
        <f aca="false">$B$5*SUMIFS('Hourly Usage'!H$4:H$63,'Hourly Usage'!$A$4:$A$63,"Year 1",'Hourly Usage'!$B$4:$B$63,$N107,'Hourly Usage'!$C$4:$C$63,$O107)+$B$6*SUMIFS('Hourly Usage'!H$4:H$63,'Hourly Usage'!$A$4:$A$63,"Year 2",'Hourly Usage'!$B$4:$B$63,$N107,'Hourly Usage'!$C$4:$C$63,$O107)</f>
        <v>0.4</v>
      </c>
      <c r="S107" s="16" t="n">
        <f aca="false">SUMIFS('Hourly Usage'!H$4:H$63,'Hourly Usage'!$A$4:$A$63,"Year 2",'Hourly Usage'!$B$4:$B$63,$N107,'Hourly Usage'!$C$4:$C$63,$O107)</f>
        <v>0</v>
      </c>
      <c r="T107" s="16" t="n">
        <f aca="false">ABS(Q107-R107)</f>
        <v>0.599999999999999</v>
      </c>
      <c r="U107" s="16" t="n">
        <f aca="false">ABS(Q107-S107)</f>
        <v>0.999999999999999</v>
      </c>
      <c r="V107" s="15" t="n">
        <f aca="false">IF(R107&gt;=$B$7-0.000001,1,0)</f>
        <v>0</v>
      </c>
      <c r="W107" s="15" t="n">
        <f aca="false">IF(Q107&gt;=$B$7-0.000001,1,0)</f>
        <v>1</v>
      </c>
      <c r="X107" s="15" t="n">
        <f aca="false">IF(V107=W107,1,0)</f>
        <v>0</v>
      </c>
      <c r="Y107" s="15" t="n">
        <f aca="false">IF(IF(S107&gt;=$B$7-0.000001,1,0)=W107,1,0)</f>
        <v>0</v>
      </c>
    </row>
    <row r="108" customFormat="false" ht="15" hidden="false" customHeight="false" outlineLevel="0" collapsed="false">
      <c r="N108" s="0" t="s">
        <v>44</v>
      </c>
      <c r="O108" s="0" t="s">
        <v>94</v>
      </c>
      <c r="P108" s="0" t="s">
        <v>81</v>
      </c>
      <c r="Q108" s="16" t="n">
        <f aca="false">SUMIFS('Hourly Usage'!I$4:I$63,'Hourly Usage'!$A$4:$A$63,"Year 3",'Hourly Usage'!$B$4:$B$63,$N108,'Hourly Usage'!$C$4:$C$63,$O108)</f>
        <v>1</v>
      </c>
      <c r="R108" s="16" t="n">
        <f aca="false">$B$5*SUMIFS('Hourly Usage'!I$4:I$63,'Hourly Usage'!$A$4:$A$63,"Year 1",'Hourly Usage'!$B$4:$B$63,$N108,'Hourly Usage'!$C$4:$C$63,$O108)+$B$6*SUMIFS('Hourly Usage'!I$4:I$63,'Hourly Usage'!$A$4:$A$63,"Year 2",'Hourly Usage'!$B$4:$B$63,$N108,'Hourly Usage'!$C$4:$C$63,$O108)</f>
        <v>1</v>
      </c>
      <c r="S108" s="16" t="n">
        <f aca="false">SUMIFS('Hourly Usage'!I$4:I$63,'Hourly Usage'!$A$4:$A$63,"Year 2",'Hourly Usage'!$B$4:$B$63,$N108,'Hourly Usage'!$C$4:$C$63,$O108)</f>
        <v>1</v>
      </c>
      <c r="T108" s="16" t="n">
        <f aca="false">ABS(Q108-R108)</f>
        <v>0</v>
      </c>
      <c r="U108" s="16" t="n">
        <f aca="false">ABS(Q108-S108)</f>
        <v>0</v>
      </c>
      <c r="V108" s="15" t="n">
        <f aca="false">IF(R108&gt;=$B$7-0.000001,1,0)</f>
        <v>1</v>
      </c>
      <c r="W108" s="15" t="n">
        <f aca="false">IF(Q108&gt;=$B$7-0.000001,1,0)</f>
        <v>1</v>
      </c>
      <c r="X108" s="15" t="n">
        <f aca="false">IF(V108=W108,1,0)</f>
        <v>1</v>
      </c>
      <c r="Y108" s="15" t="n">
        <f aca="false">IF(IF(S108&gt;=$B$7-0.000001,1,0)=W108,1,0)</f>
        <v>1</v>
      </c>
    </row>
    <row r="109" customFormat="false" ht="15" hidden="false" customHeight="false" outlineLevel="0" collapsed="false">
      <c r="N109" s="0" t="s">
        <v>44</v>
      </c>
      <c r="O109" s="0" t="s">
        <v>94</v>
      </c>
      <c r="P109" s="0" t="s">
        <v>85</v>
      </c>
      <c r="Q109" s="16" t="n">
        <f aca="false">SUMIFS('Hourly Usage'!J$4:J$63,'Hourly Usage'!$A$4:$A$63,"Year 3",'Hourly Usage'!$B$4:$B$63,$N109,'Hourly Usage'!$C$4:$C$63,$O109)</f>
        <v>0.999999999999999</v>
      </c>
      <c r="R109" s="16" t="n">
        <f aca="false">$B$5*SUMIFS('Hourly Usage'!J$4:J$63,'Hourly Usage'!$A$4:$A$63,"Year 1",'Hourly Usage'!$B$4:$B$63,$N109,'Hourly Usage'!$C$4:$C$63,$O109)+$B$6*SUMIFS('Hourly Usage'!J$4:J$63,'Hourly Usage'!$A$4:$A$63,"Year 2",'Hourly Usage'!$B$4:$B$63,$N109,'Hourly Usage'!$C$4:$C$63,$O109)</f>
        <v>0.599999999999999</v>
      </c>
      <c r="S109" s="16" t="n">
        <f aca="false">SUMIFS('Hourly Usage'!J$4:J$63,'Hourly Usage'!$A$4:$A$63,"Year 2",'Hourly Usage'!$B$4:$B$63,$N109,'Hourly Usage'!$C$4:$C$63,$O109)</f>
        <v>0.999999999999999</v>
      </c>
      <c r="T109" s="16" t="n">
        <f aca="false">ABS(Q109-R109)</f>
        <v>0.4</v>
      </c>
      <c r="U109" s="16" t="n">
        <f aca="false">ABS(Q109-S109)</f>
        <v>0</v>
      </c>
      <c r="V109" s="15" t="n">
        <f aca="false">IF(R109&gt;=$B$7-0.000001,1,0)</f>
        <v>1</v>
      </c>
      <c r="W109" s="15" t="n">
        <f aca="false">IF(Q109&gt;=$B$7-0.000001,1,0)</f>
        <v>1</v>
      </c>
      <c r="X109" s="15" t="n">
        <f aca="false">IF(V109=W109,1,0)</f>
        <v>1</v>
      </c>
      <c r="Y109" s="15" t="n">
        <f aca="false">IF(IF(S109&gt;=$B$7-0.000001,1,0)=W109,1,0)</f>
        <v>1</v>
      </c>
    </row>
    <row r="110" customFormat="false" ht="15" hidden="false" customHeight="false" outlineLevel="0" collapsed="false">
      <c r="N110" s="0" t="s">
        <v>44</v>
      </c>
      <c r="O110" s="0" t="s">
        <v>94</v>
      </c>
      <c r="P110" s="0" t="s">
        <v>88</v>
      </c>
      <c r="Q110" s="16" t="n">
        <f aca="false">SUMIFS('Hourly Usage'!K$4:K$63,'Hourly Usage'!$A$4:$A$63,"Year 3",'Hourly Usage'!$B$4:$B$63,$N110,'Hourly Usage'!$C$4:$C$63,$O110)</f>
        <v>0.500000000000001</v>
      </c>
      <c r="R110" s="16" t="n">
        <f aca="false">$B$5*SUMIFS('Hourly Usage'!K$4:K$63,'Hourly Usage'!$A$4:$A$63,"Year 1",'Hourly Usage'!$B$4:$B$63,$N110,'Hourly Usage'!$C$4:$C$63,$O110)+$B$6*SUMIFS('Hourly Usage'!K$4:K$63,'Hourly Usage'!$A$4:$A$63,"Year 2",'Hourly Usage'!$B$4:$B$63,$N110,'Hourly Usage'!$C$4:$C$63,$O110)</f>
        <v>0.999999999999996</v>
      </c>
      <c r="S110" s="16" t="n">
        <f aca="false">SUMIFS('Hourly Usage'!K$4:K$63,'Hourly Usage'!$A$4:$A$63,"Year 2",'Hourly Usage'!$B$4:$B$63,$N110,'Hourly Usage'!$C$4:$C$63,$O110)</f>
        <v>0.999999999999996</v>
      </c>
      <c r="T110" s="16" t="n">
        <f aca="false">ABS(Q110-R110)</f>
        <v>0.499999999999996</v>
      </c>
      <c r="U110" s="16" t="n">
        <f aca="false">ABS(Q110-S110)</f>
        <v>0.499999999999996</v>
      </c>
      <c r="V110" s="15" t="n">
        <f aca="false">IF(R110&gt;=$B$7-0.000001,1,0)</f>
        <v>1</v>
      </c>
      <c r="W110" s="15" t="n">
        <f aca="false">IF(Q110&gt;=$B$7-0.000001,1,0)</f>
        <v>1</v>
      </c>
      <c r="X110" s="15" t="n">
        <f aca="false">IF(V110=W110,1,0)</f>
        <v>1</v>
      </c>
      <c r="Y110" s="15" t="n">
        <f aca="false">IF(IF(S110&gt;=$B$7-0.000001,1,0)=W110,1,0)</f>
        <v>1</v>
      </c>
    </row>
    <row r="111" customFormat="false" ht="15" hidden="false" customHeight="false" outlineLevel="0" collapsed="false">
      <c r="N111" s="0" t="s">
        <v>44</v>
      </c>
      <c r="O111" s="0" t="s">
        <v>94</v>
      </c>
      <c r="P111" s="0" t="s">
        <v>91</v>
      </c>
      <c r="Q111" s="16" t="n">
        <f aca="false">SUMIFS('Hourly Usage'!L$4:L$63,'Hourly Usage'!$A$4:$A$63,"Year 3",'Hourly Usage'!$B$4:$B$63,$N111,'Hourly Usage'!$C$4:$C$63,$O111)</f>
        <v>0</v>
      </c>
      <c r="R111" s="16" t="n">
        <f aca="false">$B$5*SUMIFS('Hourly Usage'!L$4:L$63,'Hourly Usage'!$A$4:$A$63,"Year 1",'Hourly Usage'!$B$4:$B$63,$N111,'Hourly Usage'!$C$4:$C$63,$O111)+$B$6*SUMIFS('Hourly Usage'!L$4:L$63,'Hourly Usage'!$A$4:$A$63,"Year 2",'Hourly Usage'!$B$4:$B$63,$N111,'Hourly Usage'!$C$4:$C$63,$O111)</f>
        <v>0.500000000000004</v>
      </c>
      <c r="S111" s="16" t="n">
        <f aca="false">SUMIFS('Hourly Usage'!L$4:L$63,'Hourly Usage'!$A$4:$A$63,"Year 2",'Hourly Usage'!$B$4:$B$63,$N111,'Hourly Usage'!$C$4:$C$63,$O111)</f>
        <v>0.500000000000004</v>
      </c>
      <c r="T111" s="16" t="n">
        <f aca="false">ABS(Q111-R111)</f>
        <v>0.500000000000004</v>
      </c>
      <c r="U111" s="16" t="n">
        <f aca="false">ABS(Q111-S111)</f>
        <v>0.500000000000004</v>
      </c>
      <c r="V111" s="15" t="n">
        <f aca="false">IF(R111&gt;=$B$7-0.000001,1,0)</f>
        <v>1</v>
      </c>
      <c r="W111" s="15" t="n">
        <f aca="false">IF(Q111&gt;=$B$7-0.000001,1,0)</f>
        <v>0</v>
      </c>
      <c r="X111" s="15" t="n">
        <f aca="false">IF(V111=W111,1,0)</f>
        <v>0</v>
      </c>
      <c r="Y111" s="15" t="n">
        <f aca="false">IF(IF(S111&gt;=$B$7-0.000001,1,0)=W111,1,0)</f>
        <v>0</v>
      </c>
    </row>
    <row r="112" customFormat="false" ht="15" hidden="false" customHeight="false" outlineLevel="0" collapsed="false">
      <c r="N112" s="0" t="s">
        <v>44</v>
      </c>
      <c r="O112" s="0" t="s">
        <v>105</v>
      </c>
      <c r="P112" s="0" t="s">
        <v>71</v>
      </c>
      <c r="Q112" s="16" t="n">
        <f aca="false">SUMIFS('Hourly Usage'!D$4:D$63,'Hourly Usage'!$A$4:$A$63,"Year 3",'Hourly Usage'!$B$4:$B$63,$N112,'Hourly Usage'!$C$4:$C$63,$O112)</f>
        <v>0.5</v>
      </c>
      <c r="R112" s="16" t="n">
        <f aca="false">$B$5*SUMIFS('Hourly Usage'!D$4:D$63,'Hourly Usage'!$A$4:$A$63,"Year 1",'Hourly Usage'!$B$4:$B$63,$N112,'Hourly Usage'!$C$4:$C$63,$O112)+$B$6*SUMIFS('Hourly Usage'!D$4:D$63,'Hourly Usage'!$A$4:$A$63,"Year 2",'Hourly Usage'!$B$4:$B$63,$N112,'Hourly Usage'!$C$4:$C$63,$O112)</f>
        <v>0</v>
      </c>
      <c r="S112" s="16" t="n">
        <f aca="false">SUMIFS('Hourly Usage'!D$4:D$63,'Hourly Usage'!$A$4:$A$63,"Year 2",'Hourly Usage'!$B$4:$B$63,$N112,'Hourly Usage'!$C$4:$C$63,$O112)</f>
        <v>0</v>
      </c>
      <c r="T112" s="16" t="n">
        <f aca="false">ABS(Q112-R112)</f>
        <v>0.5</v>
      </c>
      <c r="U112" s="16" t="n">
        <f aca="false">ABS(Q112-S112)</f>
        <v>0.5</v>
      </c>
      <c r="V112" s="15" t="n">
        <f aca="false">IF(R112&gt;=$B$7-0.000001,1,0)</f>
        <v>0</v>
      </c>
      <c r="W112" s="15" t="n">
        <f aca="false">IF(Q112&gt;=$B$7-0.000001,1,0)</f>
        <v>1</v>
      </c>
      <c r="X112" s="15" t="n">
        <f aca="false">IF(V112=W112,1,0)</f>
        <v>0</v>
      </c>
      <c r="Y112" s="15" t="n">
        <f aca="false">IF(IF(S112&gt;=$B$7-0.000001,1,0)=W112,1,0)</f>
        <v>0</v>
      </c>
    </row>
    <row r="113" customFormat="false" ht="15" hidden="false" customHeight="false" outlineLevel="0" collapsed="false">
      <c r="N113" s="0" t="s">
        <v>44</v>
      </c>
      <c r="O113" s="0" t="s">
        <v>105</v>
      </c>
      <c r="P113" s="0" t="s">
        <v>74</v>
      </c>
      <c r="Q113" s="16" t="n">
        <f aca="false">SUMIFS('Hourly Usage'!E$4:E$63,'Hourly Usage'!$A$4:$A$63,"Year 3",'Hourly Usage'!$B$4:$B$63,$N113,'Hourly Usage'!$C$4:$C$63,$O113)</f>
        <v>1</v>
      </c>
      <c r="R113" s="16" t="n">
        <f aca="false">$B$5*SUMIFS('Hourly Usage'!E$4:E$63,'Hourly Usage'!$A$4:$A$63,"Year 1",'Hourly Usage'!$B$4:$B$63,$N113,'Hourly Usage'!$C$4:$C$63,$O113)+$B$6*SUMIFS('Hourly Usage'!E$4:E$63,'Hourly Usage'!$A$4:$A$63,"Year 2",'Hourly Usage'!$B$4:$B$63,$N113,'Hourly Usage'!$C$4:$C$63,$O113)</f>
        <v>0</v>
      </c>
      <c r="S113" s="16" t="n">
        <f aca="false">SUMIFS('Hourly Usage'!E$4:E$63,'Hourly Usage'!$A$4:$A$63,"Year 2",'Hourly Usage'!$B$4:$B$63,$N113,'Hourly Usage'!$C$4:$C$63,$O113)</f>
        <v>0</v>
      </c>
      <c r="T113" s="16" t="n">
        <f aca="false">ABS(Q113-R113)</f>
        <v>1</v>
      </c>
      <c r="U113" s="16" t="n">
        <f aca="false">ABS(Q113-S113)</f>
        <v>1</v>
      </c>
      <c r="V113" s="15" t="n">
        <f aca="false">IF(R113&gt;=$B$7-0.000001,1,0)</f>
        <v>0</v>
      </c>
      <c r="W113" s="15" t="n">
        <f aca="false">IF(Q113&gt;=$B$7-0.000001,1,0)</f>
        <v>1</v>
      </c>
      <c r="X113" s="15" t="n">
        <f aca="false">IF(V113=W113,1,0)</f>
        <v>0</v>
      </c>
      <c r="Y113" s="15" t="n">
        <f aca="false">IF(IF(S113&gt;=$B$7-0.000001,1,0)=W113,1,0)</f>
        <v>0</v>
      </c>
    </row>
    <row r="114" customFormat="false" ht="15" hidden="false" customHeight="false" outlineLevel="0" collapsed="false">
      <c r="N114" s="0" t="s">
        <v>44</v>
      </c>
      <c r="O114" s="0" t="s">
        <v>105</v>
      </c>
      <c r="P114" s="0" t="s">
        <v>76</v>
      </c>
      <c r="Q114" s="16" t="n">
        <f aca="false">SUMIFS('Hourly Usage'!F$4:F$63,'Hourly Usage'!$A$4:$A$63,"Year 3",'Hourly Usage'!$B$4:$B$63,$N114,'Hourly Usage'!$C$4:$C$63,$O114)</f>
        <v>0.5</v>
      </c>
      <c r="R114" s="16" t="n">
        <f aca="false">$B$5*SUMIFS('Hourly Usage'!F$4:F$63,'Hourly Usage'!$A$4:$A$63,"Year 1",'Hourly Usage'!$B$4:$B$63,$N114,'Hourly Usage'!$C$4:$C$63,$O114)+$B$6*SUMIFS('Hourly Usage'!F$4:F$63,'Hourly Usage'!$A$4:$A$63,"Year 2",'Hourly Usage'!$B$4:$B$63,$N114,'Hourly Usage'!$C$4:$C$63,$O114)</f>
        <v>0</v>
      </c>
      <c r="S114" s="16" t="n">
        <f aca="false">SUMIFS('Hourly Usage'!F$4:F$63,'Hourly Usage'!$A$4:$A$63,"Year 2",'Hourly Usage'!$B$4:$B$63,$N114,'Hourly Usage'!$C$4:$C$63,$O114)</f>
        <v>0</v>
      </c>
      <c r="T114" s="16" t="n">
        <f aca="false">ABS(Q114-R114)</f>
        <v>0.5</v>
      </c>
      <c r="U114" s="16" t="n">
        <f aca="false">ABS(Q114-S114)</f>
        <v>0.5</v>
      </c>
      <c r="V114" s="15" t="n">
        <f aca="false">IF(R114&gt;=$B$7-0.000001,1,0)</f>
        <v>0</v>
      </c>
      <c r="W114" s="15" t="n">
        <f aca="false">IF(Q114&gt;=$B$7-0.000001,1,0)</f>
        <v>1</v>
      </c>
      <c r="X114" s="15" t="n">
        <f aca="false">IF(V114=W114,1,0)</f>
        <v>0</v>
      </c>
      <c r="Y114" s="15" t="n">
        <f aca="false">IF(IF(S114&gt;=$B$7-0.000001,1,0)=W114,1,0)</f>
        <v>0</v>
      </c>
    </row>
    <row r="115" customFormat="false" ht="15" hidden="false" customHeight="false" outlineLevel="0" collapsed="false">
      <c r="N115" s="0" t="s">
        <v>44</v>
      </c>
      <c r="O115" s="0" t="s">
        <v>105</v>
      </c>
      <c r="P115" s="0" t="s">
        <v>78</v>
      </c>
      <c r="Q115" s="16" t="n">
        <f aca="false">SUMIFS('Hourly Usage'!G$4:G$63,'Hourly Usage'!$A$4:$A$63,"Year 3",'Hourly Usage'!$B$4:$B$63,$N115,'Hourly Usage'!$C$4:$C$63,$O115)</f>
        <v>0</v>
      </c>
      <c r="R115" s="16" t="n">
        <f aca="false">$B$5*SUMIFS('Hourly Usage'!G$4:G$63,'Hourly Usage'!$A$4:$A$63,"Year 1",'Hourly Usage'!$B$4:$B$63,$N115,'Hourly Usage'!$C$4:$C$63,$O115)+$B$6*SUMIFS('Hourly Usage'!G$4:G$63,'Hourly Usage'!$A$4:$A$63,"Year 2",'Hourly Usage'!$B$4:$B$63,$N115,'Hourly Usage'!$C$4:$C$63,$O115)</f>
        <v>0.6</v>
      </c>
      <c r="S115" s="16" t="n">
        <f aca="false">SUMIFS('Hourly Usage'!G$4:G$63,'Hourly Usage'!$A$4:$A$63,"Year 2",'Hourly Usage'!$B$4:$B$63,$N115,'Hourly Usage'!$C$4:$C$63,$O115)</f>
        <v>1</v>
      </c>
      <c r="T115" s="16" t="n">
        <f aca="false">ABS(Q115-R115)</f>
        <v>0.6</v>
      </c>
      <c r="U115" s="16" t="n">
        <f aca="false">ABS(Q115-S115)</f>
        <v>1</v>
      </c>
      <c r="V115" s="15" t="n">
        <f aca="false">IF(R115&gt;=$B$7-0.000001,1,0)</f>
        <v>1</v>
      </c>
      <c r="W115" s="15" t="n">
        <f aca="false">IF(Q115&gt;=$B$7-0.000001,1,0)</f>
        <v>0</v>
      </c>
      <c r="X115" s="15" t="n">
        <f aca="false">IF(V115=W115,1,0)</f>
        <v>0</v>
      </c>
      <c r="Y115" s="15" t="n">
        <f aca="false">IF(IF(S115&gt;=$B$7-0.000001,1,0)=W115,1,0)</f>
        <v>0</v>
      </c>
    </row>
    <row r="116" customFormat="false" ht="15" hidden="false" customHeight="false" outlineLevel="0" collapsed="false">
      <c r="N116" s="0" t="s">
        <v>44</v>
      </c>
      <c r="O116" s="0" t="s">
        <v>105</v>
      </c>
      <c r="P116" s="0" t="s">
        <v>79</v>
      </c>
      <c r="Q116" s="16" t="n">
        <f aca="false">SUMIFS('Hourly Usage'!H$4:H$63,'Hourly Usage'!$A$4:$A$63,"Year 3",'Hourly Usage'!$B$4:$B$63,$N116,'Hourly Usage'!$C$4:$C$63,$O116)</f>
        <v>0.999999999999999</v>
      </c>
      <c r="R116" s="16" t="n">
        <f aca="false">$B$5*SUMIFS('Hourly Usage'!H$4:H$63,'Hourly Usage'!$A$4:$A$63,"Year 1",'Hourly Usage'!$B$4:$B$63,$N116,'Hourly Usage'!$C$4:$C$63,$O116)+$B$6*SUMIFS('Hourly Usage'!H$4:H$63,'Hourly Usage'!$A$4:$A$63,"Year 2",'Hourly Usage'!$B$4:$B$63,$N116,'Hourly Usage'!$C$4:$C$63,$O116)</f>
        <v>0.999999999999999</v>
      </c>
      <c r="S116" s="16" t="n">
        <f aca="false">SUMIFS('Hourly Usage'!H$4:H$63,'Hourly Usage'!$A$4:$A$63,"Year 2",'Hourly Usage'!$B$4:$B$63,$N116,'Hourly Usage'!$C$4:$C$63,$O116)</f>
        <v>0.999999999999999</v>
      </c>
      <c r="T116" s="16" t="n">
        <f aca="false">ABS(Q116-R116)</f>
        <v>0</v>
      </c>
      <c r="U116" s="16" t="n">
        <f aca="false">ABS(Q116-S116)</f>
        <v>0</v>
      </c>
      <c r="V116" s="15" t="n">
        <f aca="false">IF(R116&gt;=$B$7-0.000001,1,0)</f>
        <v>1</v>
      </c>
      <c r="W116" s="15" t="n">
        <f aca="false">IF(Q116&gt;=$B$7-0.000001,1,0)</f>
        <v>1</v>
      </c>
      <c r="X116" s="15" t="n">
        <f aca="false">IF(V116=W116,1,0)</f>
        <v>1</v>
      </c>
      <c r="Y116" s="15" t="n">
        <f aca="false">IF(IF(S116&gt;=$B$7-0.000001,1,0)=W116,1,0)</f>
        <v>1</v>
      </c>
    </row>
    <row r="117" customFormat="false" ht="15" hidden="false" customHeight="false" outlineLevel="0" collapsed="false">
      <c r="N117" s="0" t="s">
        <v>44</v>
      </c>
      <c r="O117" s="0" t="s">
        <v>105</v>
      </c>
      <c r="P117" s="0" t="s">
        <v>81</v>
      </c>
      <c r="Q117" s="16" t="n">
        <f aca="false">SUMIFS('Hourly Usage'!I$4:I$63,'Hourly Usage'!$A$4:$A$63,"Year 3",'Hourly Usage'!$B$4:$B$63,$N117,'Hourly Usage'!$C$4:$C$63,$O117)</f>
        <v>1</v>
      </c>
      <c r="R117" s="16" t="n">
        <f aca="false">$B$5*SUMIFS('Hourly Usage'!I$4:I$63,'Hourly Usage'!$A$4:$A$63,"Year 1",'Hourly Usage'!$B$4:$B$63,$N117,'Hourly Usage'!$C$4:$C$63,$O117)+$B$6*SUMIFS('Hourly Usage'!I$4:I$63,'Hourly Usage'!$A$4:$A$63,"Year 2",'Hourly Usage'!$B$4:$B$63,$N117,'Hourly Usage'!$C$4:$C$63,$O117)</f>
        <v>0.250000000000004</v>
      </c>
      <c r="S117" s="16" t="n">
        <f aca="false">SUMIFS('Hourly Usage'!I$4:I$63,'Hourly Usage'!$A$4:$A$63,"Year 2",'Hourly Usage'!$B$4:$B$63,$N117,'Hourly Usage'!$C$4:$C$63,$O117)</f>
        <v>0.250000000000004</v>
      </c>
      <c r="T117" s="16" t="n">
        <f aca="false">ABS(Q117-R117)</f>
        <v>0.749999999999996</v>
      </c>
      <c r="U117" s="16" t="n">
        <f aca="false">ABS(Q117-S117)</f>
        <v>0.749999999999996</v>
      </c>
      <c r="V117" s="15" t="n">
        <f aca="false">IF(R117&gt;=$B$7-0.000001,1,0)</f>
        <v>0</v>
      </c>
      <c r="W117" s="15" t="n">
        <f aca="false">IF(Q117&gt;=$B$7-0.000001,1,0)</f>
        <v>1</v>
      </c>
      <c r="X117" s="15" t="n">
        <f aca="false">IF(V117=W117,1,0)</f>
        <v>0</v>
      </c>
      <c r="Y117" s="15" t="n">
        <f aca="false">IF(IF(S117&gt;=$B$7-0.000001,1,0)=W117,1,0)</f>
        <v>0</v>
      </c>
    </row>
    <row r="118" customFormat="false" ht="15" hidden="false" customHeight="false" outlineLevel="0" collapsed="false">
      <c r="N118" s="0" t="s">
        <v>44</v>
      </c>
      <c r="O118" s="0" t="s">
        <v>105</v>
      </c>
      <c r="P118" s="0" t="s">
        <v>85</v>
      </c>
      <c r="Q118" s="16" t="n">
        <f aca="false">SUMIFS('Hourly Usage'!J$4:J$63,'Hourly Usage'!$A$4:$A$63,"Year 3",'Hourly Usage'!$B$4:$B$63,$N118,'Hourly Usage'!$C$4:$C$63,$O118)</f>
        <v>0.499999999999993</v>
      </c>
      <c r="R118" s="16" t="n">
        <f aca="false">$B$5*SUMIFS('Hourly Usage'!J$4:J$63,'Hourly Usage'!$A$4:$A$63,"Year 1",'Hourly Usage'!$B$4:$B$63,$N118,'Hourly Usage'!$C$4:$C$63,$O118)+$B$6*SUMIFS('Hourly Usage'!J$4:J$63,'Hourly Usage'!$A$4:$A$63,"Year 2",'Hourly Usage'!$B$4:$B$63,$N118,'Hourly Usage'!$C$4:$C$63,$O118)</f>
        <v>0</v>
      </c>
      <c r="S118" s="16" t="n">
        <f aca="false">SUMIFS('Hourly Usage'!J$4:J$63,'Hourly Usage'!$A$4:$A$63,"Year 2",'Hourly Usage'!$B$4:$B$63,$N118,'Hourly Usage'!$C$4:$C$63,$O118)</f>
        <v>0</v>
      </c>
      <c r="T118" s="16" t="n">
        <f aca="false">ABS(Q118-R118)</f>
        <v>0.499999999999993</v>
      </c>
      <c r="U118" s="16" t="n">
        <f aca="false">ABS(Q118-S118)</f>
        <v>0.499999999999993</v>
      </c>
      <c r="V118" s="15" t="n">
        <f aca="false">IF(R118&gt;=$B$7-0.000001,1,0)</f>
        <v>0</v>
      </c>
      <c r="W118" s="15" t="n">
        <f aca="false">IF(Q118&gt;=$B$7-0.000001,1,0)</f>
        <v>1</v>
      </c>
      <c r="X118" s="15" t="n">
        <f aca="false">IF(V118=W118,1,0)</f>
        <v>0</v>
      </c>
      <c r="Y118" s="15" t="n">
        <f aca="false">IF(IF(S118&gt;=$B$7-0.000001,1,0)=W118,1,0)</f>
        <v>0</v>
      </c>
    </row>
    <row r="119" customFormat="false" ht="15" hidden="false" customHeight="false" outlineLevel="0" collapsed="false">
      <c r="N119" s="0" t="s">
        <v>44</v>
      </c>
      <c r="O119" s="0" t="s">
        <v>105</v>
      </c>
      <c r="P119" s="0" t="s">
        <v>88</v>
      </c>
      <c r="Q119" s="16" t="n">
        <f aca="false">SUMIFS('Hourly Usage'!K$4:K$63,'Hourly Usage'!$A$4:$A$63,"Year 3",'Hourly Usage'!$B$4:$B$63,$N119,'Hourly Usage'!$C$4:$C$63,$O119)</f>
        <v>0.499999999999996</v>
      </c>
      <c r="R119" s="16" t="n">
        <f aca="false">$B$5*SUMIFS('Hourly Usage'!K$4:K$63,'Hourly Usage'!$A$4:$A$63,"Year 1",'Hourly Usage'!$B$4:$B$63,$N119,'Hourly Usage'!$C$4:$C$63,$O119)+$B$6*SUMIFS('Hourly Usage'!K$4:K$63,'Hourly Usage'!$A$4:$A$63,"Year 2",'Hourly Usage'!$B$4:$B$63,$N119,'Hourly Usage'!$C$4:$C$63,$O119)</f>
        <v>0</v>
      </c>
      <c r="S119" s="16" t="n">
        <f aca="false">SUMIFS('Hourly Usage'!K$4:K$63,'Hourly Usage'!$A$4:$A$63,"Year 2",'Hourly Usage'!$B$4:$B$63,$N119,'Hourly Usage'!$C$4:$C$63,$O119)</f>
        <v>0</v>
      </c>
      <c r="T119" s="16" t="n">
        <f aca="false">ABS(Q119-R119)</f>
        <v>0.499999999999996</v>
      </c>
      <c r="U119" s="16" t="n">
        <f aca="false">ABS(Q119-S119)</f>
        <v>0.499999999999996</v>
      </c>
      <c r="V119" s="15" t="n">
        <f aca="false">IF(R119&gt;=$B$7-0.000001,1,0)</f>
        <v>0</v>
      </c>
      <c r="W119" s="15" t="n">
        <f aca="false">IF(Q119&gt;=$B$7-0.000001,1,0)</f>
        <v>1</v>
      </c>
      <c r="X119" s="15" t="n">
        <f aca="false">IF(V119=W119,1,0)</f>
        <v>0</v>
      </c>
      <c r="Y119" s="15" t="n">
        <f aca="false">IF(IF(S119&gt;=$B$7-0.000001,1,0)=W119,1,0)</f>
        <v>0</v>
      </c>
    </row>
    <row r="120" customFormat="false" ht="15" hidden="false" customHeight="false" outlineLevel="0" collapsed="false">
      <c r="N120" s="0" t="s">
        <v>44</v>
      </c>
      <c r="O120" s="0" t="s">
        <v>105</v>
      </c>
      <c r="P120" s="0" t="s">
        <v>91</v>
      </c>
      <c r="Q120" s="16" t="n">
        <f aca="false">SUMIFS('Hourly Usage'!L$4:L$63,'Hourly Usage'!$A$4:$A$63,"Year 3",'Hourly Usage'!$B$4:$B$63,$N120,'Hourly Usage'!$C$4:$C$63,$O120)</f>
        <v>1</v>
      </c>
      <c r="R120" s="16" t="n">
        <f aca="false">$B$5*SUMIFS('Hourly Usage'!L$4:L$63,'Hourly Usage'!$A$4:$A$63,"Year 1",'Hourly Usage'!$B$4:$B$63,$N120,'Hourly Usage'!$C$4:$C$63,$O120)+$B$6*SUMIFS('Hourly Usage'!L$4:L$63,'Hourly Usage'!$A$4:$A$63,"Year 2",'Hourly Usage'!$B$4:$B$63,$N120,'Hourly Usage'!$C$4:$C$63,$O120)</f>
        <v>0</v>
      </c>
      <c r="S120" s="16" t="n">
        <f aca="false">SUMIFS('Hourly Usage'!L$4:L$63,'Hourly Usage'!$A$4:$A$63,"Year 2",'Hourly Usage'!$B$4:$B$63,$N120,'Hourly Usage'!$C$4:$C$63,$O120)</f>
        <v>0</v>
      </c>
      <c r="T120" s="16" t="n">
        <f aca="false">ABS(Q120-R120)</f>
        <v>1</v>
      </c>
      <c r="U120" s="16" t="n">
        <f aca="false">ABS(Q120-S120)</f>
        <v>1</v>
      </c>
      <c r="V120" s="15" t="n">
        <f aca="false">IF(R120&gt;=$B$7-0.000001,1,0)</f>
        <v>0</v>
      </c>
      <c r="W120" s="15" t="n">
        <f aca="false">IF(Q120&gt;=$B$7-0.000001,1,0)</f>
        <v>1</v>
      </c>
      <c r="X120" s="15" t="n">
        <f aca="false">IF(V120=W120,1,0)</f>
        <v>0</v>
      </c>
      <c r="Y120" s="15" t="n">
        <f aca="false">IF(IF(S120&gt;=$B$7-0.000001,1,0)=W120,1,0)</f>
        <v>0</v>
      </c>
    </row>
    <row r="121" customFormat="false" ht="15" hidden="false" customHeight="false" outlineLevel="0" collapsed="false">
      <c r="N121" s="0" t="s">
        <v>44</v>
      </c>
      <c r="O121" s="0" t="s">
        <v>117</v>
      </c>
      <c r="P121" s="0" t="s">
        <v>71</v>
      </c>
      <c r="Q121" s="16" t="n">
        <f aca="false">SUMIFS('Hourly Usage'!D$4:D$63,'Hourly Usage'!$A$4:$A$63,"Year 3",'Hourly Usage'!$B$4:$B$63,$N121,'Hourly Usage'!$C$4:$C$63,$O121)</f>
        <v>0</v>
      </c>
      <c r="R121" s="16" t="n">
        <f aca="false">$B$5*SUMIFS('Hourly Usage'!D$4:D$63,'Hourly Usage'!$A$4:$A$63,"Year 1",'Hourly Usage'!$B$4:$B$63,$N121,'Hourly Usage'!$C$4:$C$63,$O121)+$B$6*SUMIFS('Hourly Usage'!D$4:D$63,'Hourly Usage'!$A$4:$A$63,"Year 2",'Hourly Usage'!$B$4:$B$63,$N121,'Hourly Usage'!$C$4:$C$63,$O121)</f>
        <v>0</v>
      </c>
      <c r="S121" s="16" t="n">
        <f aca="false">SUMIFS('Hourly Usage'!D$4:D$63,'Hourly Usage'!$A$4:$A$63,"Year 2",'Hourly Usage'!$B$4:$B$63,$N121,'Hourly Usage'!$C$4:$C$63,$O121)</f>
        <v>0</v>
      </c>
      <c r="T121" s="16" t="n">
        <f aca="false">ABS(Q121-R121)</f>
        <v>0</v>
      </c>
      <c r="U121" s="16" t="n">
        <f aca="false">ABS(Q121-S121)</f>
        <v>0</v>
      </c>
      <c r="V121" s="15" t="n">
        <f aca="false">IF(R121&gt;=$B$7-0.000001,1,0)</f>
        <v>0</v>
      </c>
      <c r="W121" s="15" t="n">
        <f aca="false">IF(Q121&gt;=$B$7-0.000001,1,0)</f>
        <v>0</v>
      </c>
      <c r="X121" s="15" t="n">
        <f aca="false">IF(V121=W121,1,0)</f>
        <v>1</v>
      </c>
      <c r="Y121" s="15" t="n">
        <f aca="false">IF(IF(S121&gt;=$B$7-0.000001,1,0)=W121,1,0)</f>
        <v>1</v>
      </c>
    </row>
    <row r="122" customFormat="false" ht="15" hidden="false" customHeight="false" outlineLevel="0" collapsed="false">
      <c r="N122" s="0" t="s">
        <v>44</v>
      </c>
      <c r="O122" s="0" t="s">
        <v>117</v>
      </c>
      <c r="P122" s="0" t="s">
        <v>74</v>
      </c>
      <c r="Q122" s="16" t="n">
        <f aca="false">SUMIFS('Hourly Usage'!E$4:E$63,'Hourly Usage'!$A$4:$A$63,"Year 3",'Hourly Usage'!$B$4:$B$63,$N122,'Hourly Usage'!$C$4:$C$63,$O122)</f>
        <v>0</v>
      </c>
      <c r="R122" s="16" t="n">
        <f aca="false">$B$5*SUMIFS('Hourly Usage'!E$4:E$63,'Hourly Usage'!$A$4:$A$63,"Year 1",'Hourly Usage'!$B$4:$B$63,$N122,'Hourly Usage'!$C$4:$C$63,$O122)+$B$6*SUMIFS('Hourly Usage'!E$4:E$63,'Hourly Usage'!$A$4:$A$63,"Year 2",'Hourly Usage'!$B$4:$B$63,$N122,'Hourly Usage'!$C$4:$C$63,$O122)</f>
        <v>0</v>
      </c>
      <c r="S122" s="16" t="n">
        <f aca="false">SUMIFS('Hourly Usage'!E$4:E$63,'Hourly Usage'!$A$4:$A$63,"Year 2",'Hourly Usage'!$B$4:$B$63,$N122,'Hourly Usage'!$C$4:$C$63,$O122)</f>
        <v>0</v>
      </c>
      <c r="T122" s="16" t="n">
        <f aca="false">ABS(Q122-R122)</f>
        <v>0</v>
      </c>
      <c r="U122" s="16" t="n">
        <f aca="false">ABS(Q122-S122)</f>
        <v>0</v>
      </c>
      <c r="V122" s="15" t="n">
        <f aca="false">IF(R122&gt;=$B$7-0.000001,1,0)</f>
        <v>0</v>
      </c>
      <c r="W122" s="15" t="n">
        <f aca="false">IF(Q122&gt;=$B$7-0.000001,1,0)</f>
        <v>0</v>
      </c>
      <c r="X122" s="15" t="n">
        <f aca="false">IF(V122=W122,1,0)</f>
        <v>1</v>
      </c>
      <c r="Y122" s="15" t="n">
        <f aca="false">IF(IF(S122&gt;=$B$7-0.000001,1,0)=W122,1,0)</f>
        <v>1</v>
      </c>
    </row>
    <row r="123" customFormat="false" ht="15" hidden="false" customHeight="false" outlineLevel="0" collapsed="false">
      <c r="N123" s="0" t="s">
        <v>44</v>
      </c>
      <c r="O123" s="0" t="s">
        <v>117</v>
      </c>
      <c r="P123" s="0" t="s">
        <v>76</v>
      </c>
      <c r="Q123" s="16" t="n">
        <f aca="false">SUMIFS('Hourly Usage'!F$4:F$63,'Hourly Usage'!$A$4:$A$63,"Year 3",'Hourly Usage'!$B$4:$B$63,$N123,'Hourly Usage'!$C$4:$C$63,$O123)</f>
        <v>0</v>
      </c>
      <c r="R123" s="16" t="n">
        <f aca="false">$B$5*SUMIFS('Hourly Usage'!F$4:F$63,'Hourly Usage'!$A$4:$A$63,"Year 1",'Hourly Usage'!$B$4:$B$63,$N123,'Hourly Usage'!$C$4:$C$63,$O123)+$B$6*SUMIFS('Hourly Usage'!F$4:F$63,'Hourly Usage'!$A$4:$A$63,"Year 2",'Hourly Usage'!$B$4:$B$63,$N123,'Hourly Usage'!$C$4:$C$63,$O123)</f>
        <v>0</v>
      </c>
      <c r="S123" s="16" t="n">
        <f aca="false">SUMIFS('Hourly Usage'!F$4:F$63,'Hourly Usage'!$A$4:$A$63,"Year 2",'Hourly Usage'!$B$4:$B$63,$N123,'Hourly Usage'!$C$4:$C$63,$O123)</f>
        <v>0</v>
      </c>
      <c r="T123" s="16" t="n">
        <f aca="false">ABS(Q123-R123)</f>
        <v>0</v>
      </c>
      <c r="U123" s="16" t="n">
        <f aca="false">ABS(Q123-S123)</f>
        <v>0</v>
      </c>
      <c r="V123" s="15" t="n">
        <f aca="false">IF(R123&gt;=$B$7-0.000001,1,0)</f>
        <v>0</v>
      </c>
      <c r="W123" s="15" t="n">
        <f aca="false">IF(Q123&gt;=$B$7-0.000001,1,0)</f>
        <v>0</v>
      </c>
      <c r="X123" s="15" t="n">
        <f aca="false">IF(V123=W123,1,0)</f>
        <v>1</v>
      </c>
      <c r="Y123" s="15" t="n">
        <f aca="false">IF(IF(S123&gt;=$B$7-0.000001,1,0)=W123,1,0)</f>
        <v>1</v>
      </c>
    </row>
    <row r="124" customFormat="false" ht="15" hidden="false" customHeight="false" outlineLevel="0" collapsed="false">
      <c r="N124" s="0" t="s">
        <v>44</v>
      </c>
      <c r="O124" s="0" t="s">
        <v>117</v>
      </c>
      <c r="P124" s="0" t="s">
        <v>78</v>
      </c>
      <c r="Q124" s="16" t="n">
        <f aca="false">SUMIFS('Hourly Usage'!G$4:G$63,'Hourly Usage'!$A$4:$A$63,"Year 3",'Hourly Usage'!$B$4:$B$63,$N124,'Hourly Usage'!$C$4:$C$63,$O124)</f>
        <v>0</v>
      </c>
      <c r="R124" s="16" t="n">
        <f aca="false">$B$5*SUMIFS('Hourly Usage'!G$4:G$63,'Hourly Usage'!$A$4:$A$63,"Year 1",'Hourly Usage'!$B$4:$B$63,$N124,'Hourly Usage'!$C$4:$C$63,$O124)+$B$6*SUMIFS('Hourly Usage'!G$4:G$63,'Hourly Usage'!$A$4:$A$63,"Year 2",'Hourly Usage'!$B$4:$B$63,$N124,'Hourly Usage'!$C$4:$C$63,$O124)</f>
        <v>0</v>
      </c>
      <c r="S124" s="16" t="n">
        <f aca="false">SUMIFS('Hourly Usage'!G$4:G$63,'Hourly Usage'!$A$4:$A$63,"Year 2",'Hourly Usage'!$B$4:$B$63,$N124,'Hourly Usage'!$C$4:$C$63,$O124)</f>
        <v>0</v>
      </c>
      <c r="T124" s="16" t="n">
        <f aca="false">ABS(Q124-R124)</f>
        <v>0</v>
      </c>
      <c r="U124" s="16" t="n">
        <f aca="false">ABS(Q124-S124)</f>
        <v>0</v>
      </c>
      <c r="V124" s="15" t="n">
        <f aca="false">IF(R124&gt;=$B$7-0.000001,1,0)</f>
        <v>0</v>
      </c>
      <c r="W124" s="15" t="n">
        <f aca="false">IF(Q124&gt;=$B$7-0.000001,1,0)</f>
        <v>0</v>
      </c>
      <c r="X124" s="15" t="n">
        <f aca="false">IF(V124=W124,1,0)</f>
        <v>1</v>
      </c>
      <c r="Y124" s="15" t="n">
        <f aca="false">IF(IF(S124&gt;=$B$7-0.000001,1,0)=W124,1,0)</f>
        <v>1</v>
      </c>
    </row>
    <row r="125" customFormat="false" ht="15" hidden="false" customHeight="false" outlineLevel="0" collapsed="false">
      <c r="N125" s="0" t="s">
        <v>44</v>
      </c>
      <c r="O125" s="0" t="s">
        <v>117</v>
      </c>
      <c r="P125" s="0" t="s">
        <v>79</v>
      </c>
      <c r="Q125" s="16" t="n">
        <f aca="false">SUMIFS('Hourly Usage'!H$4:H$63,'Hourly Usage'!$A$4:$A$63,"Year 3",'Hourly Usage'!$B$4:$B$63,$N125,'Hourly Usage'!$C$4:$C$63,$O125)</f>
        <v>0</v>
      </c>
      <c r="R125" s="16" t="n">
        <f aca="false">$B$5*SUMIFS('Hourly Usage'!H$4:H$63,'Hourly Usage'!$A$4:$A$63,"Year 1",'Hourly Usage'!$B$4:$B$63,$N125,'Hourly Usage'!$C$4:$C$63,$O125)+$B$6*SUMIFS('Hourly Usage'!H$4:H$63,'Hourly Usage'!$A$4:$A$63,"Year 2",'Hourly Usage'!$B$4:$B$63,$N125,'Hourly Usage'!$C$4:$C$63,$O125)</f>
        <v>0.999999999999996</v>
      </c>
      <c r="S125" s="16" t="n">
        <f aca="false">SUMIFS('Hourly Usage'!H$4:H$63,'Hourly Usage'!$A$4:$A$63,"Year 2",'Hourly Usage'!$B$4:$B$63,$N125,'Hourly Usage'!$C$4:$C$63,$O125)</f>
        <v>0.999999999999996</v>
      </c>
      <c r="T125" s="16" t="n">
        <f aca="false">ABS(Q125-R125)</f>
        <v>0.999999999999996</v>
      </c>
      <c r="U125" s="16" t="n">
        <f aca="false">ABS(Q125-S125)</f>
        <v>0.999999999999996</v>
      </c>
      <c r="V125" s="15" t="n">
        <f aca="false">IF(R125&gt;=$B$7-0.000001,1,0)</f>
        <v>1</v>
      </c>
      <c r="W125" s="15" t="n">
        <f aca="false">IF(Q125&gt;=$B$7-0.000001,1,0)</f>
        <v>0</v>
      </c>
      <c r="X125" s="15" t="n">
        <f aca="false">IF(V125=W125,1,0)</f>
        <v>0</v>
      </c>
      <c r="Y125" s="15" t="n">
        <f aca="false">IF(IF(S125&gt;=$B$7-0.000001,1,0)=W125,1,0)</f>
        <v>0</v>
      </c>
    </row>
    <row r="126" customFormat="false" ht="15" hidden="false" customHeight="false" outlineLevel="0" collapsed="false">
      <c r="N126" s="0" t="s">
        <v>44</v>
      </c>
      <c r="O126" s="0" t="s">
        <v>117</v>
      </c>
      <c r="P126" s="0" t="s">
        <v>81</v>
      </c>
      <c r="Q126" s="16" t="n">
        <f aca="false">SUMIFS('Hourly Usage'!I$4:I$63,'Hourly Usage'!$A$4:$A$63,"Year 3",'Hourly Usage'!$B$4:$B$63,$N126,'Hourly Usage'!$C$4:$C$63,$O126)</f>
        <v>0</v>
      </c>
      <c r="R126" s="16" t="n">
        <f aca="false">$B$5*SUMIFS('Hourly Usage'!I$4:I$63,'Hourly Usage'!$A$4:$A$63,"Year 1",'Hourly Usage'!$B$4:$B$63,$N126,'Hourly Usage'!$C$4:$C$63,$O126)+$B$6*SUMIFS('Hourly Usage'!I$4:I$63,'Hourly Usage'!$A$4:$A$63,"Year 2",'Hourly Usage'!$B$4:$B$63,$N126,'Hourly Usage'!$C$4:$C$63,$O126)</f>
        <v>0.800000000000001</v>
      </c>
      <c r="S126" s="16" t="n">
        <f aca="false">SUMIFS('Hourly Usage'!I$4:I$63,'Hourly Usage'!$A$4:$A$63,"Year 2",'Hourly Usage'!$B$4:$B$63,$N126,'Hourly Usage'!$C$4:$C$63,$O126)</f>
        <v>1</v>
      </c>
      <c r="T126" s="16" t="n">
        <f aca="false">ABS(Q126-R126)</f>
        <v>0.800000000000001</v>
      </c>
      <c r="U126" s="16" t="n">
        <f aca="false">ABS(Q126-S126)</f>
        <v>1</v>
      </c>
      <c r="V126" s="15" t="n">
        <f aca="false">IF(R126&gt;=$B$7-0.000001,1,0)</f>
        <v>1</v>
      </c>
      <c r="W126" s="15" t="n">
        <f aca="false">IF(Q126&gt;=$B$7-0.000001,1,0)</f>
        <v>0</v>
      </c>
      <c r="X126" s="15" t="n">
        <f aca="false">IF(V126=W126,1,0)</f>
        <v>0</v>
      </c>
      <c r="Y126" s="15" t="n">
        <f aca="false">IF(IF(S126&gt;=$B$7-0.000001,1,0)=W126,1,0)</f>
        <v>0</v>
      </c>
    </row>
    <row r="127" customFormat="false" ht="15" hidden="false" customHeight="false" outlineLevel="0" collapsed="false">
      <c r="N127" s="0" t="s">
        <v>44</v>
      </c>
      <c r="O127" s="0" t="s">
        <v>117</v>
      </c>
      <c r="P127" s="0" t="s">
        <v>85</v>
      </c>
      <c r="Q127" s="16" t="n">
        <f aca="false">SUMIFS('Hourly Usage'!J$4:J$63,'Hourly Usage'!$A$4:$A$63,"Year 3",'Hourly Usage'!$B$4:$B$63,$N127,'Hourly Usage'!$C$4:$C$63,$O127)</f>
        <v>0.999999999999999</v>
      </c>
      <c r="R127" s="16" t="n">
        <f aca="false">$B$5*SUMIFS('Hourly Usage'!J$4:J$63,'Hourly Usage'!$A$4:$A$63,"Year 1",'Hourly Usage'!$B$4:$B$63,$N127,'Hourly Usage'!$C$4:$C$63,$O127)+$B$6*SUMIFS('Hourly Usage'!J$4:J$63,'Hourly Usage'!$A$4:$A$63,"Year 2",'Hourly Usage'!$B$4:$B$63,$N127,'Hourly Usage'!$C$4:$C$63,$O127)</f>
        <v>0.599999999999998</v>
      </c>
      <c r="S127" s="16" t="n">
        <f aca="false">SUMIFS('Hourly Usage'!J$4:J$63,'Hourly Usage'!$A$4:$A$63,"Year 2",'Hourly Usage'!$B$4:$B$63,$N127,'Hourly Usage'!$C$4:$C$63,$O127)</f>
        <v>0.999999999999996</v>
      </c>
      <c r="T127" s="16" t="n">
        <f aca="false">ABS(Q127-R127)</f>
        <v>0.400000000000001</v>
      </c>
      <c r="U127" s="16" t="n">
        <f aca="false">ABS(Q127-S127)</f>
        <v>0</v>
      </c>
      <c r="V127" s="15" t="n">
        <f aca="false">IF(R127&gt;=$B$7-0.000001,1,0)</f>
        <v>1</v>
      </c>
      <c r="W127" s="15" t="n">
        <f aca="false">IF(Q127&gt;=$B$7-0.000001,1,0)</f>
        <v>1</v>
      </c>
      <c r="X127" s="15" t="n">
        <f aca="false">IF(V127=W127,1,0)</f>
        <v>1</v>
      </c>
      <c r="Y127" s="15" t="n">
        <f aca="false">IF(IF(S127&gt;=$B$7-0.000001,1,0)=W127,1,0)</f>
        <v>1</v>
      </c>
    </row>
    <row r="128" customFormat="false" ht="15" hidden="false" customHeight="false" outlineLevel="0" collapsed="false">
      <c r="N128" s="0" t="s">
        <v>44</v>
      </c>
      <c r="O128" s="0" t="s">
        <v>117</v>
      </c>
      <c r="P128" s="0" t="s">
        <v>88</v>
      </c>
      <c r="Q128" s="16" t="n">
        <f aca="false">SUMIFS('Hourly Usage'!K$4:K$63,'Hourly Usage'!$A$4:$A$63,"Year 3",'Hourly Usage'!$B$4:$B$63,$N128,'Hourly Usage'!$C$4:$C$63,$O128)</f>
        <v>1</v>
      </c>
      <c r="R128" s="16" t="n">
        <f aca="false">$B$5*SUMIFS('Hourly Usage'!K$4:K$63,'Hourly Usage'!$A$4:$A$63,"Year 1",'Hourly Usage'!$B$4:$B$63,$N128,'Hourly Usage'!$C$4:$C$63,$O128)+$B$6*SUMIFS('Hourly Usage'!K$4:K$63,'Hourly Usage'!$A$4:$A$63,"Year 2",'Hourly Usage'!$B$4:$B$63,$N128,'Hourly Usage'!$C$4:$C$63,$O128)</f>
        <v>0.999999999999998</v>
      </c>
      <c r="S128" s="16" t="n">
        <f aca="false">SUMIFS('Hourly Usage'!K$4:K$63,'Hourly Usage'!$A$4:$A$63,"Year 2",'Hourly Usage'!$B$4:$B$63,$N128,'Hourly Usage'!$C$4:$C$63,$O128)</f>
        <v>0.999999999999999</v>
      </c>
      <c r="T128" s="16" t="n">
        <f aca="false">ABS(Q128-R128)</f>
        <v>0</v>
      </c>
      <c r="U128" s="16" t="n">
        <f aca="false">ABS(Q128-S128)</f>
        <v>0</v>
      </c>
      <c r="V128" s="15" t="n">
        <f aca="false">IF(R128&gt;=$B$7-0.000001,1,0)</f>
        <v>1</v>
      </c>
      <c r="W128" s="15" t="n">
        <f aca="false">IF(Q128&gt;=$B$7-0.000001,1,0)</f>
        <v>1</v>
      </c>
      <c r="X128" s="15" t="n">
        <f aca="false">IF(V128=W128,1,0)</f>
        <v>1</v>
      </c>
      <c r="Y128" s="15" t="n">
        <f aca="false">IF(IF(S128&gt;=$B$7-0.000001,1,0)=W128,1,0)</f>
        <v>1</v>
      </c>
    </row>
    <row r="129" customFormat="false" ht="15" hidden="false" customHeight="false" outlineLevel="0" collapsed="false">
      <c r="N129" s="0" t="s">
        <v>44</v>
      </c>
      <c r="O129" s="0" t="s">
        <v>117</v>
      </c>
      <c r="P129" s="0" t="s">
        <v>91</v>
      </c>
      <c r="Q129" s="16" t="n">
        <f aca="false">SUMIFS('Hourly Usage'!L$4:L$63,'Hourly Usage'!$A$4:$A$63,"Year 3",'Hourly Usage'!$B$4:$B$63,$N129,'Hourly Usage'!$C$4:$C$63,$O129)</f>
        <v>0.500000000000001</v>
      </c>
      <c r="R129" s="16" t="n">
        <f aca="false">$B$5*SUMIFS('Hourly Usage'!L$4:L$63,'Hourly Usage'!$A$4:$A$63,"Year 1",'Hourly Usage'!$B$4:$B$63,$N129,'Hourly Usage'!$C$4:$C$63,$O129)+$B$6*SUMIFS('Hourly Usage'!L$4:L$63,'Hourly Usage'!$A$4:$A$63,"Year 2",'Hourly Usage'!$B$4:$B$63,$N129,'Hourly Usage'!$C$4:$C$63,$O129)</f>
        <v>0.4</v>
      </c>
      <c r="S129" s="16" t="n">
        <f aca="false">SUMIFS('Hourly Usage'!L$4:L$63,'Hourly Usage'!$A$4:$A$63,"Year 2",'Hourly Usage'!$B$4:$B$63,$N129,'Hourly Usage'!$C$4:$C$63,$O129)</f>
        <v>0</v>
      </c>
      <c r="T129" s="16" t="n">
        <f aca="false">ABS(Q129-R129)</f>
        <v>0.100000000000001</v>
      </c>
      <c r="U129" s="16" t="n">
        <f aca="false">ABS(Q129-S129)</f>
        <v>0.500000000000001</v>
      </c>
      <c r="V129" s="15" t="n">
        <f aca="false">IF(R129&gt;=$B$7-0.000001,1,0)</f>
        <v>0</v>
      </c>
      <c r="W129" s="15" t="n">
        <f aca="false">IF(Q129&gt;=$B$7-0.000001,1,0)</f>
        <v>1</v>
      </c>
      <c r="X129" s="15" t="n">
        <f aca="false">IF(V129=W129,1,0)</f>
        <v>0</v>
      </c>
      <c r="Y129" s="15" t="n">
        <f aca="false">IF(IF(S129&gt;=$B$7-0.000001,1,0)=W129,1,0)</f>
        <v>0</v>
      </c>
    </row>
    <row r="130" customFormat="false" ht="15" hidden="false" customHeight="false" outlineLevel="0" collapsed="false">
      <c r="N130" s="0" t="s">
        <v>44</v>
      </c>
      <c r="O130" s="0" t="s">
        <v>118</v>
      </c>
      <c r="P130" s="0" t="s">
        <v>71</v>
      </c>
      <c r="Q130" s="16" t="n">
        <f aca="false">SUMIFS('Hourly Usage'!D$4:D$63,'Hourly Usage'!$A$4:$A$63,"Year 3",'Hourly Usage'!$B$4:$B$63,$N130,'Hourly Usage'!$C$4:$C$63,$O130)</f>
        <v>0</v>
      </c>
      <c r="R130" s="16" t="n">
        <f aca="false">$B$5*SUMIFS('Hourly Usage'!D$4:D$63,'Hourly Usage'!$A$4:$A$63,"Year 1",'Hourly Usage'!$B$4:$B$63,$N130,'Hourly Usage'!$C$4:$C$63,$O130)+$B$6*SUMIFS('Hourly Usage'!D$4:D$63,'Hourly Usage'!$A$4:$A$63,"Year 2",'Hourly Usage'!$B$4:$B$63,$N130,'Hourly Usage'!$C$4:$C$63,$O130)</f>
        <v>0</v>
      </c>
      <c r="S130" s="16" t="n">
        <f aca="false">SUMIFS('Hourly Usage'!D$4:D$63,'Hourly Usage'!$A$4:$A$63,"Year 2",'Hourly Usage'!$B$4:$B$63,$N130,'Hourly Usage'!$C$4:$C$63,$O130)</f>
        <v>0</v>
      </c>
      <c r="T130" s="16" t="n">
        <f aca="false">ABS(Q130-R130)</f>
        <v>0</v>
      </c>
      <c r="U130" s="16" t="n">
        <f aca="false">ABS(Q130-S130)</f>
        <v>0</v>
      </c>
      <c r="V130" s="15" t="n">
        <f aca="false">IF(R130&gt;=$B$7-0.000001,1,0)</f>
        <v>0</v>
      </c>
      <c r="W130" s="15" t="n">
        <f aca="false">IF(Q130&gt;=$B$7-0.000001,1,0)</f>
        <v>0</v>
      </c>
      <c r="X130" s="15" t="n">
        <f aca="false">IF(V130=W130,1,0)</f>
        <v>1</v>
      </c>
      <c r="Y130" s="15" t="n">
        <f aca="false">IF(IF(S130&gt;=$B$7-0.000001,1,0)=W130,1,0)</f>
        <v>1</v>
      </c>
    </row>
    <row r="131" customFormat="false" ht="15" hidden="false" customHeight="false" outlineLevel="0" collapsed="false">
      <c r="N131" s="0" t="s">
        <v>44</v>
      </c>
      <c r="O131" s="0" t="s">
        <v>118</v>
      </c>
      <c r="P131" s="0" t="s">
        <v>74</v>
      </c>
      <c r="Q131" s="16" t="n">
        <f aca="false">SUMIFS('Hourly Usage'!E$4:E$63,'Hourly Usage'!$A$4:$A$63,"Year 3",'Hourly Usage'!$B$4:$B$63,$N131,'Hourly Usage'!$C$4:$C$63,$O131)</f>
        <v>1</v>
      </c>
      <c r="R131" s="16" t="n">
        <f aca="false">$B$5*SUMIFS('Hourly Usage'!E$4:E$63,'Hourly Usage'!$A$4:$A$63,"Year 1",'Hourly Usage'!$B$4:$B$63,$N131,'Hourly Usage'!$C$4:$C$63,$O131)+$B$6*SUMIFS('Hourly Usage'!E$4:E$63,'Hourly Usage'!$A$4:$A$63,"Year 2",'Hourly Usage'!$B$4:$B$63,$N131,'Hourly Usage'!$C$4:$C$63,$O131)</f>
        <v>0.6</v>
      </c>
      <c r="S131" s="16" t="n">
        <f aca="false">SUMIFS('Hourly Usage'!E$4:E$63,'Hourly Usage'!$A$4:$A$63,"Year 2",'Hourly Usage'!$B$4:$B$63,$N131,'Hourly Usage'!$C$4:$C$63,$O131)</f>
        <v>1</v>
      </c>
      <c r="T131" s="16" t="n">
        <f aca="false">ABS(Q131-R131)</f>
        <v>0.4</v>
      </c>
      <c r="U131" s="16" t="n">
        <f aca="false">ABS(Q131-S131)</f>
        <v>0</v>
      </c>
      <c r="V131" s="15" t="n">
        <f aca="false">IF(R131&gt;=$B$7-0.000001,1,0)</f>
        <v>1</v>
      </c>
      <c r="W131" s="15" t="n">
        <f aca="false">IF(Q131&gt;=$B$7-0.000001,1,0)</f>
        <v>1</v>
      </c>
      <c r="X131" s="15" t="n">
        <f aca="false">IF(V131=W131,1,0)</f>
        <v>1</v>
      </c>
      <c r="Y131" s="15" t="n">
        <f aca="false">IF(IF(S131&gt;=$B$7-0.000001,1,0)=W131,1,0)</f>
        <v>1</v>
      </c>
    </row>
    <row r="132" customFormat="false" ht="15" hidden="false" customHeight="false" outlineLevel="0" collapsed="false">
      <c r="N132" s="0" t="s">
        <v>44</v>
      </c>
      <c r="O132" s="0" t="s">
        <v>118</v>
      </c>
      <c r="P132" s="0" t="s">
        <v>76</v>
      </c>
      <c r="Q132" s="16" t="n">
        <f aca="false">SUMIFS('Hourly Usage'!F$4:F$63,'Hourly Usage'!$A$4:$A$63,"Year 3",'Hourly Usage'!$B$4:$B$63,$N132,'Hourly Usage'!$C$4:$C$63,$O132)</f>
        <v>0.999999999999998</v>
      </c>
      <c r="R132" s="16" t="n">
        <f aca="false">$B$5*SUMIFS('Hourly Usage'!F$4:F$63,'Hourly Usage'!$A$4:$A$63,"Year 1",'Hourly Usage'!$B$4:$B$63,$N132,'Hourly Usage'!$C$4:$C$63,$O132)+$B$6*SUMIFS('Hourly Usage'!F$4:F$63,'Hourly Usage'!$A$4:$A$63,"Year 2",'Hourly Usage'!$B$4:$B$63,$N132,'Hourly Usage'!$C$4:$C$63,$O132)</f>
        <v>0.599999999999999</v>
      </c>
      <c r="S132" s="16" t="n">
        <f aca="false">SUMIFS('Hourly Usage'!F$4:F$63,'Hourly Usage'!$A$4:$A$63,"Year 2",'Hourly Usage'!$B$4:$B$63,$N132,'Hourly Usage'!$C$4:$C$63,$O132)</f>
        <v>0.999999999999998</v>
      </c>
      <c r="T132" s="16" t="n">
        <f aca="false">ABS(Q132-R132)</f>
        <v>0.399999999999999</v>
      </c>
      <c r="U132" s="16" t="n">
        <f aca="false">ABS(Q132-S132)</f>
        <v>0</v>
      </c>
      <c r="V132" s="15" t="n">
        <f aca="false">IF(R132&gt;=$B$7-0.000001,1,0)</f>
        <v>1</v>
      </c>
      <c r="W132" s="15" t="n">
        <f aca="false">IF(Q132&gt;=$B$7-0.000001,1,0)</f>
        <v>1</v>
      </c>
      <c r="X132" s="15" t="n">
        <f aca="false">IF(V132=W132,1,0)</f>
        <v>1</v>
      </c>
      <c r="Y132" s="15" t="n">
        <f aca="false">IF(IF(S132&gt;=$B$7-0.000001,1,0)=W132,1,0)</f>
        <v>1</v>
      </c>
    </row>
    <row r="133" customFormat="false" ht="15" hidden="false" customHeight="false" outlineLevel="0" collapsed="false">
      <c r="N133" s="0" t="s">
        <v>44</v>
      </c>
      <c r="O133" s="0" t="s">
        <v>118</v>
      </c>
      <c r="P133" s="0" t="s">
        <v>78</v>
      </c>
      <c r="Q133" s="16" t="n">
        <f aca="false">SUMIFS('Hourly Usage'!G$4:G$63,'Hourly Usage'!$A$4:$A$63,"Year 3",'Hourly Usage'!$B$4:$B$63,$N133,'Hourly Usage'!$C$4:$C$63,$O133)</f>
        <v>0.500000000000004</v>
      </c>
      <c r="R133" s="16" t="n">
        <f aca="false">$B$5*SUMIFS('Hourly Usage'!G$4:G$63,'Hourly Usage'!$A$4:$A$63,"Year 1",'Hourly Usage'!$B$4:$B$63,$N133,'Hourly Usage'!$C$4:$C$63,$O133)+$B$6*SUMIFS('Hourly Usage'!G$4:G$63,'Hourly Usage'!$A$4:$A$63,"Year 2",'Hourly Usage'!$B$4:$B$63,$N133,'Hourly Usage'!$C$4:$C$63,$O133)</f>
        <v>0.500000000000001</v>
      </c>
      <c r="S133" s="16" t="n">
        <f aca="false">SUMIFS('Hourly Usage'!G$4:G$63,'Hourly Usage'!$A$4:$A$63,"Year 2",'Hourly Usage'!$B$4:$B$63,$N133,'Hourly Usage'!$C$4:$C$63,$O133)</f>
        <v>0.500000000000004</v>
      </c>
      <c r="T133" s="16" t="n">
        <f aca="false">ABS(Q133-R133)</f>
        <v>2.22044604925031E-015</v>
      </c>
      <c r="U133" s="16" t="n">
        <f aca="false">ABS(Q133-S133)</f>
        <v>0</v>
      </c>
      <c r="V133" s="15" t="n">
        <f aca="false">IF(R133&gt;=$B$7-0.000001,1,0)</f>
        <v>1</v>
      </c>
      <c r="W133" s="15" t="n">
        <f aca="false">IF(Q133&gt;=$B$7-0.000001,1,0)</f>
        <v>1</v>
      </c>
      <c r="X133" s="15" t="n">
        <f aca="false">IF(V133=W133,1,0)</f>
        <v>1</v>
      </c>
      <c r="Y133" s="15" t="n">
        <f aca="false">IF(IF(S133&gt;=$B$7-0.000001,1,0)=W133,1,0)</f>
        <v>1</v>
      </c>
    </row>
    <row r="134" customFormat="false" ht="15" hidden="false" customHeight="false" outlineLevel="0" collapsed="false">
      <c r="N134" s="0" t="s">
        <v>44</v>
      </c>
      <c r="O134" s="0" t="s">
        <v>118</v>
      </c>
      <c r="P134" s="0" t="s">
        <v>79</v>
      </c>
      <c r="Q134" s="16" t="n">
        <f aca="false">SUMIFS('Hourly Usage'!H$4:H$63,'Hourly Usage'!$A$4:$A$63,"Year 3",'Hourly Usage'!$B$4:$B$63,$N134,'Hourly Usage'!$C$4:$C$63,$O134)</f>
        <v>0.999999999999996</v>
      </c>
      <c r="R134" s="16" t="n">
        <f aca="false">$B$5*SUMIFS('Hourly Usage'!H$4:H$63,'Hourly Usage'!$A$4:$A$63,"Year 1",'Hourly Usage'!$B$4:$B$63,$N134,'Hourly Usage'!$C$4:$C$63,$O134)+$B$6*SUMIFS('Hourly Usage'!H$4:H$63,'Hourly Usage'!$A$4:$A$63,"Year 2",'Hourly Usage'!$B$4:$B$63,$N134,'Hourly Usage'!$C$4:$C$63,$O134)</f>
        <v>0.4</v>
      </c>
      <c r="S134" s="16" t="n">
        <f aca="false">SUMIFS('Hourly Usage'!H$4:H$63,'Hourly Usage'!$A$4:$A$63,"Year 2",'Hourly Usage'!$B$4:$B$63,$N134,'Hourly Usage'!$C$4:$C$63,$O134)</f>
        <v>0</v>
      </c>
      <c r="T134" s="16" t="n">
        <f aca="false">ABS(Q134-R134)</f>
        <v>0.599999999999997</v>
      </c>
      <c r="U134" s="16" t="n">
        <f aca="false">ABS(Q134-S134)</f>
        <v>0.999999999999996</v>
      </c>
      <c r="V134" s="15" t="n">
        <f aca="false">IF(R134&gt;=$B$7-0.000001,1,0)</f>
        <v>0</v>
      </c>
      <c r="W134" s="15" t="n">
        <f aca="false">IF(Q134&gt;=$B$7-0.000001,1,0)</f>
        <v>1</v>
      </c>
      <c r="X134" s="15" t="n">
        <f aca="false">IF(V134=W134,1,0)</f>
        <v>0</v>
      </c>
      <c r="Y134" s="15" t="n">
        <f aca="false">IF(IF(S134&gt;=$B$7-0.000001,1,0)=W134,1,0)</f>
        <v>0</v>
      </c>
    </row>
    <row r="135" customFormat="false" ht="15" hidden="false" customHeight="false" outlineLevel="0" collapsed="false">
      <c r="N135" s="0" t="s">
        <v>44</v>
      </c>
      <c r="O135" s="0" t="s">
        <v>118</v>
      </c>
      <c r="P135" s="0" t="s">
        <v>81</v>
      </c>
      <c r="Q135" s="16" t="n">
        <f aca="false">SUMIFS('Hourly Usage'!I$4:I$63,'Hourly Usage'!$A$4:$A$63,"Year 3",'Hourly Usage'!$B$4:$B$63,$N135,'Hourly Usage'!$C$4:$C$63,$O135)</f>
        <v>0.500000000000004</v>
      </c>
      <c r="R135" s="16" t="n">
        <f aca="false">$B$5*SUMIFS('Hourly Usage'!I$4:I$63,'Hourly Usage'!$A$4:$A$63,"Year 1",'Hourly Usage'!$B$4:$B$63,$N135,'Hourly Usage'!$C$4:$C$63,$O135)+$B$6*SUMIFS('Hourly Usage'!I$4:I$63,'Hourly Usage'!$A$4:$A$63,"Year 2",'Hourly Usage'!$B$4:$B$63,$N135,'Hourly Usage'!$C$4:$C$63,$O135)</f>
        <v>0</v>
      </c>
      <c r="S135" s="16" t="n">
        <f aca="false">SUMIFS('Hourly Usage'!I$4:I$63,'Hourly Usage'!$A$4:$A$63,"Year 2",'Hourly Usage'!$B$4:$B$63,$N135,'Hourly Usage'!$C$4:$C$63,$O135)</f>
        <v>0</v>
      </c>
      <c r="T135" s="16" t="n">
        <f aca="false">ABS(Q135-R135)</f>
        <v>0.500000000000004</v>
      </c>
      <c r="U135" s="16" t="n">
        <f aca="false">ABS(Q135-S135)</f>
        <v>0.500000000000004</v>
      </c>
      <c r="V135" s="15" t="n">
        <f aca="false">IF(R135&gt;=$B$7-0.000001,1,0)</f>
        <v>0</v>
      </c>
      <c r="W135" s="15" t="n">
        <f aca="false">IF(Q135&gt;=$B$7-0.000001,1,0)</f>
        <v>1</v>
      </c>
      <c r="X135" s="15" t="n">
        <f aca="false">IF(V135=W135,1,0)</f>
        <v>0</v>
      </c>
      <c r="Y135" s="15" t="n">
        <f aca="false">IF(IF(S135&gt;=$B$7-0.000001,1,0)=W135,1,0)</f>
        <v>0</v>
      </c>
    </row>
    <row r="136" customFormat="false" ht="15" hidden="false" customHeight="false" outlineLevel="0" collapsed="false">
      <c r="N136" s="0" t="s">
        <v>44</v>
      </c>
      <c r="O136" s="0" t="s">
        <v>118</v>
      </c>
      <c r="P136" s="0" t="s">
        <v>85</v>
      </c>
      <c r="Q136" s="16" t="n">
        <f aca="false">SUMIFS('Hourly Usage'!J$4:J$63,'Hourly Usage'!$A$4:$A$63,"Year 3",'Hourly Usage'!$B$4:$B$63,$N136,'Hourly Usage'!$C$4:$C$63,$O136)</f>
        <v>0</v>
      </c>
      <c r="R136" s="16" t="n">
        <f aca="false">$B$5*SUMIFS('Hourly Usage'!J$4:J$63,'Hourly Usage'!$A$4:$A$63,"Year 1",'Hourly Usage'!$B$4:$B$63,$N136,'Hourly Usage'!$C$4:$C$63,$O136)+$B$6*SUMIFS('Hourly Usage'!J$4:J$63,'Hourly Usage'!$A$4:$A$63,"Year 2",'Hourly Usage'!$B$4:$B$63,$N136,'Hourly Usage'!$C$4:$C$63,$O136)</f>
        <v>0</v>
      </c>
      <c r="S136" s="16" t="n">
        <f aca="false">SUMIFS('Hourly Usage'!J$4:J$63,'Hourly Usage'!$A$4:$A$63,"Year 2",'Hourly Usage'!$B$4:$B$63,$N136,'Hourly Usage'!$C$4:$C$63,$O136)</f>
        <v>0</v>
      </c>
      <c r="T136" s="16" t="n">
        <f aca="false">ABS(Q136-R136)</f>
        <v>0</v>
      </c>
      <c r="U136" s="16" t="n">
        <f aca="false">ABS(Q136-S136)</f>
        <v>0</v>
      </c>
      <c r="V136" s="15" t="n">
        <f aca="false">IF(R136&gt;=$B$7-0.000001,1,0)</f>
        <v>0</v>
      </c>
      <c r="W136" s="15" t="n">
        <f aca="false">IF(Q136&gt;=$B$7-0.000001,1,0)</f>
        <v>0</v>
      </c>
      <c r="X136" s="15" t="n">
        <f aca="false">IF(V136=W136,1,0)</f>
        <v>1</v>
      </c>
      <c r="Y136" s="15" t="n">
        <f aca="false">IF(IF(S136&gt;=$B$7-0.000001,1,0)=W136,1,0)</f>
        <v>1</v>
      </c>
    </row>
    <row r="137" customFormat="false" ht="15" hidden="false" customHeight="false" outlineLevel="0" collapsed="false">
      <c r="N137" s="0" t="s">
        <v>44</v>
      </c>
      <c r="O137" s="0" t="s">
        <v>118</v>
      </c>
      <c r="P137" s="0" t="s">
        <v>88</v>
      </c>
      <c r="Q137" s="16" t="n">
        <f aca="false">SUMIFS('Hourly Usage'!K$4:K$63,'Hourly Usage'!$A$4:$A$63,"Year 3",'Hourly Usage'!$B$4:$B$63,$N137,'Hourly Usage'!$C$4:$C$63,$O137)</f>
        <v>0.499999999999996</v>
      </c>
      <c r="R137" s="16" t="n">
        <f aca="false">$B$5*SUMIFS('Hourly Usage'!K$4:K$63,'Hourly Usage'!$A$4:$A$63,"Year 1",'Hourly Usage'!$B$4:$B$63,$N137,'Hourly Usage'!$C$4:$C$63,$O137)+$B$6*SUMIFS('Hourly Usage'!K$4:K$63,'Hourly Usage'!$A$4:$A$63,"Year 2",'Hourly Usage'!$B$4:$B$63,$N137,'Hourly Usage'!$C$4:$C$63,$O137)</f>
        <v>0.999999999999999</v>
      </c>
      <c r="S137" s="16" t="n">
        <f aca="false">SUMIFS('Hourly Usage'!K$4:K$63,'Hourly Usage'!$A$4:$A$63,"Year 2",'Hourly Usage'!$B$4:$B$63,$N137,'Hourly Usage'!$C$4:$C$63,$O137)</f>
        <v>0.999999999999999</v>
      </c>
      <c r="T137" s="16" t="n">
        <f aca="false">ABS(Q137-R137)</f>
        <v>0.500000000000004</v>
      </c>
      <c r="U137" s="16" t="n">
        <f aca="false">ABS(Q137-S137)</f>
        <v>0.500000000000004</v>
      </c>
      <c r="V137" s="15" t="n">
        <f aca="false">IF(R137&gt;=$B$7-0.000001,1,0)</f>
        <v>1</v>
      </c>
      <c r="W137" s="15" t="n">
        <f aca="false">IF(Q137&gt;=$B$7-0.000001,1,0)</f>
        <v>1</v>
      </c>
      <c r="X137" s="15" t="n">
        <f aca="false">IF(V137=W137,1,0)</f>
        <v>1</v>
      </c>
      <c r="Y137" s="15" t="n">
        <f aca="false">IF(IF(S137&gt;=$B$7-0.000001,1,0)=W137,1,0)</f>
        <v>1</v>
      </c>
    </row>
    <row r="138" customFormat="false" ht="15" hidden="false" customHeight="false" outlineLevel="0" collapsed="false">
      <c r="N138" s="0" t="s">
        <v>44</v>
      </c>
      <c r="O138" s="0" t="s">
        <v>118</v>
      </c>
      <c r="P138" s="0" t="s">
        <v>91</v>
      </c>
      <c r="Q138" s="16" t="n">
        <f aca="false">SUMIFS('Hourly Usage'!L$4:L$63,'Hourly Usage'!$A$4:$A$63,"Year 3",'Hourly Usage'!$B$4:$B$63,$N138,'Hourly Usage'!$C$4:$C$63,$O138)</f>
        <v>1</v>
      </c>
      <c r="R138" s="16" t="n">
        <f aca="false">$B$5*SUMIFS('Hourly Usage'!L$4:L$63,'Hourly Usage'!$A$4:$A$63,"Year 1",'Hourly Usage'!$B$4:$B$63,$N138,'Hourly Usage'!$C$4:$C$63,$O138)+$B$6*SUMIFS('Hourly Usage'!L$4:L$63,'Hourly Usage'!$A$4:$A$63,"Year 2",'Hourly Usage'!$B$4:$B$63,$N138,'Hourly Usage'!$C$4:$C$63,$O138)</f>
        <v>1</v>
      </c>
      <c r="S138" s="16" t="n">
        <f aca="false">SUMIFS('Hourly Usage'!L$4:L$63,'Hourly Usage'!$A$4:$A$63,"Year 2",'Hourly Usage'!$B$4:$B$63,$N138,'Hourly Usage'!$C$4:$C$63,$O138)</f>
        <v>1</v>
      </c>
      <c r="T138" s="16" t="n">
        <f aca="false">ABS(Q138-R138)</f>
        <v>0</v>
      </c>
      <c r="U138" s="16" t="n">
        <f aca="false">ABS(Q138-S138)</f>
        <v>0</v>
      </c>
      <c r="V138" s="15" t="n">
        <f aca="false">IF(R138&gt;=$B$7-0.000001,1,0)</f>
        <v>1</v>
      </c>
      <c r="W138" s="15" t="n">
        <f aca="false">IF(Q138&gt;=$B$7-0.000001,1,0)</f>
        <v>1</v>
      </c>
      <c r="X138" s="15" t="n">
        <f aca="false">IF(V138=W138,1,0)</f>
        <v>1</v>
      </c>
      <c r="Y138" s="15" t="n">
        <f aca="false">IF(IF(S138&gt;=$B$7-0.000001,1,0)=W138,1,0)</f>
        <v>1</v>
      </c>
    </row>
    <row r="139" customFormat="false" ht="15" hidden="false" customHeight="false" outlineLevel="0" collapsed="false">
      <c r="N139" s="0" t="s">
        <v>45</v>
      </c>
      <c r="O139" s="0" t="s">
        <v>70</v>
      </c>
      <c r="P139" s="0" t="s">
        <v>71</v>
      </c>
      <c r="Q139" s="16" t="n">
        <f aca="false">SUMIFS('Hourly Usage'!D$4:D$63,'Hourly Usage'!$A$4:$A$63,"Year 3",'Hourly Usage'!$B$4:$B$63,$N139,'Hourly Usage'!$C$4:$C$63,$O139)</f>
        <v>0</v>
      </c>
      <c r="R139" s="16" t="n">
        <f aca="false">$B$5*SUMIFS('Hourly Usage'!D$4:D$63,'Hourly Usage'!$A$4:$A$63,"Year 1",'Hourly Usage'!$B$4:$B$63,$N139,'Hourly Usage'!$C$4:$C$63,$O139)+$B$6*SUMIFS('Hourly Usage'!D$4:D$63,'Hourly Usage'!$A$4:$A$63,"Year 2",'Hourly Usage'!$B$4:$B$63,$N139,'Hourly Usage'!$C$4:$C$63,$O139)</f>
        <v>0</v>
      </c>
      <c r="S139" s="16" t="n">
        <f aca="false">SUMIFS('Hourly Usage'!D$4:D$63,'Hourly Usage'!$A$4:$A$63,"Year 2",'Hourly Usage'!$B$4:$B$63,$N139,'Hourly Usage'!$C$4:$C$63,$O139)</f>
        <v>0</v>
      </c>
      <c r="T139" s="16" t="n">
        <f aca="false">ABS(Q139-R139)</f>
        <v>0</v>
      </c>
      <c r="U139" s="16" t="n">
        <f aca="false">ABS(Q139-S139)</f>
        <v>0</v>
      </c>
      <c r="V139" s="15" t="n">
        <f aca="false">IF(R139&gt;=$B$7-0.000001,1,0)</f>
        <v>0</v>
      </c>
      <c r="W139" s="15" t="n">
        <f aca="false">IF(Q139&gt;=$B$7-0.000001,1,0)</f>
        <v>0</v>
      </c>
      <c r="X139" s="15" t="n">
        <f aca="false">IF(V139=W139,1,0)</f>
        <v>1</v>
      </c>
      <c r="Y139" s="15" t="n">
        <f aca="false">IF(IF(S139&gt;=$B$7-0.000001,1,0)=W139,1,0)</f>
        <v>1</v>
      </c>
    </row>
    <row r="140" customFormat="false" ht="15" hidden="false" customHeight="false" outlineLevel="0" collapsed="false">
      <c r="N140" s="0" t="s">
        <v>45</v>
      </c>
      <c r="O140" s="0" t="s">
        <v>70</v>
      </c>
      <c r="P140" s="0" t="s">
        <v>74</v>
      </c>
      <c r="Q140" s="16" t="n">
        <f aca="false">SUMIFS('Hourly Usage'!E$4:E$63,'Hourly Usage'!$A$4:$A$63,"Year 3",'Hourly Usage'!$B$4:$B$63,$N140,'Hourly Usage'!$C$4:$C$63,$O140)</f>
        <v>0</v>
      </c>
      <c r="R140" s="16" t="n">
        <f aca="false">$B$5*SUMIFS('Hourly Usage'!E$4:E$63,'Hourly Usage'!$A$4:$A$63,"Year 1",'Hourly Usage'!$B$4:$B$63,$N140,'Hourly Usage'!$C$4:$C$63,$O140)+$B$6*SUMIFS('Hourly Usage'!E$4:E$63,'Hourly Usage'!$A$4:$A$63,"Year 2",'Hourly Usage'!$B$4:$B$63,$N140,'Hourly Usage'!$C$4:$C$63,$O140)</f>
        <v>0</v>
      </c>
      <c r="S140" s="16" t="n">
        <f aca="false">SUMIFS('Hourly Usage'!E$4:E$63,'Hourly Usage'!$A$4:$A$63,"Year 2",'Hourly Usage'!$B$4:$B$63,$N140,'Hourly Usage'!$C$4:$C$63,$O140)</f>
        <v>0</v>
      </c>
      <c r="T140" s="16" t="n">
        <f aca="false">ABS(Q140-R140)</f>
        <v>0</v>
      </c>
      <c r="U140" s="16" t="n">
        <f aca="false">ABS(Q140-S140)</f>
        <v>0</v>
      </c>
      <c r="V140" s="15" t="n">
        <f aca="false">IF(R140&gt;=$B$7-0.000001,1,0)</f>
        <v>0</v>
      </c>
      <c r="W140" s="15" t="n">
        <f aca="false">IF(Q140&gt;=$B$7-0.000001,1,0)</f>
        <v>0</v>
      </c>
      <c r="X140" s="15" t="n">
        <f aca="false">IF(V140=W140,1,0)</f>
        <v>1</v>
      </c>
      <c r="Y140" s="15" t="n">
        <f aca="false">IF(IF(S140&gt;=$B$7-0.000001,1,0)=W140,1,0)</f>
        <v>1</v>
      </c>
    </row>
    <row r="141" customFormat="false" ht="15" hidden="false" customHeight="false" outlineLevel="0" collapsed="false">
      <c r="N141" s="0" t="s">
        <v>45</v>
      </c>
      <c r="O141" s="0" t="s">
        <v>70</v>
      </c>
      <c r="P141" s="0" t="s">
        <v>76</v>
      </c>
      <c r="Q141" s="16" t="n">
        <f aca="false">SUMIFS('Hourly Usage'!F$4:F$63,'Hourly Usage'!$A$4:$A$63,"Year 3",'Hourly Usage'!$B$4:$B$63,$N141,'Hourly Usage'!$C$4:$C$63,$O141)</f>
        <v>0</v>
      </c>
      <c r="R141" s="16" t="n">
        <f aca="false">$B$5*SUMIFS('Hourly Usage'!F$4:F$63,'Hourly Usage'!$A$4:$A$63,"Year 1",'Hourly Usage'!$B$4:$B$63,$N141,'Hourly Usage'!$C$4:$C$63,$O141)+$B$6*SUMIFS('Hourly Usage'!F$4:F$63,'Hourly Usage'!$A$4:$A$63,"Year 2",'Hourly Usage'!$B$4:$B$63,$N141,'Hourly Usage'!$C$4:$C$63,$O141)</f>
        <v>0</v>
      </c>
      <c r="S141" s="16" t="n">
        <f aca="false">SUMIFS('Hourly Usage'!F$4:F$63,'Hourly Usage'!$A$4:$A$63,"Year 2",'Hourly Usage'!$B$4:$B$63,$N141,'Hourly Usage'!$C$4:$C$63,$O141)</f>
        <v>0</v>
      </c>
      <c r="T141" s="16" t="n">
        <f aca="false">ABS(Q141-R141)</f>
        <v>0</v>
      </c>
      <c r="U141" s="16" t="n">
        <f aca="false">ABS(Q141-S141)</f>
        <v>0</v>
      </c>
      <c r="V141" s="15" t="n">
        <f aca="false">IF(R141&gt;=$B$7-0.000001,1,0)</f>
        <v>0</v>
      </c>
      <c r="W141" s="15" t="n">
        <f aca="false">IF(Q141&gt;=$B$7-0.000001,1,0)</f>
        <v>0</v>
      </c>
      <c r="X141" s="15" t="n">
        <f aca="false">IF(V141=W141,1,0)</f>
        <v>1</v>
      </c>
      <c r="Y141" s="15" t="n">
        <f aca="false">IF(IF(S141&gt;=$B$7-0.000001,1,0)=W141,1,0)</f>
        <v>1</v>
      </c>
    </row>
    <row r="142" customFormat="false" ht="15" hidden="false" customHeight="false" outlineLevel="0" collapsed="false">
      <c r="N142" s="0" t="s">
        <v>45</v>
      </c>
      <c r="O142" s="0" t="s">
        <v>70</v>
      </c>
      <c r="P142" s="0" t="s">
        <v>78</v>
      </c>
      <c r="Q142" s="16" t="n">
        <f aca="false">SUMIFS('Hourly Usage'!G$4:G$63,'Hourly Usage'!$A$4:$A$63,"Year 3",'Hourly Usage'!$B$4:$B$63,$N142,'Hourly Usage'!$C$4:$C$63,$O142)</f>
        <v>0.5</v>
      </c>
      <c r="R142" s="16" t="n">
        <f aca="false">$B$5*SUMIFS('Hourly Usage'!G$4:G$63,'Hourly Usage'!$A$4:$A$63,"Year 1",'Hourly Usage'!$B$4:$B$63,$N142,'Hourly Usage'!$C$4:$C$63,$O142)+$B$6*SUMIFS('Hourly Usage'!G$4:G$63,'Hourly Usage'!$A$4:$A$63,"Year 2",'Hourly Usage'!$B$4:$B$63,$N142,'Hourly Usage'!$C$4:$C$63,$O142)</f>
        <v>0</v>
      </c>
      <c r="S142" s="16" t="n">
        <f aca="false">SUMIFS('Hourly Usage'!G$4:G$63,'Hourly Usage'!$A$4:$A$63,"Year 2",'Hourly Usage'!$B$4:$B$63,$N142,'Hourly Usage'!$C$4:$C$63,$O142)</f>
        <v>0</v>
      </c>
      <c r="T142" s="16" t="n">
        <f aca="false">ABS(Q142-R142)</f>
        <v>0.5</v>
      </c>
      <c r="U142" s="16" t="n">
        <f aca="false">ABS(Q142-S142)</f>
        <v>0.5</v>
      </c>
      <c r="V142" s="15" t="n">
        <f aca="false">IF(R142&gt;=$B$7-0.000001,1,0)</f>
        <v>0</v>
      </c>
      <c r="W142" s="15" t="n">
        <f aca="false">IF(Q142&gt;=$B$7-0.000001,1,0)</f>
        <v>1</v>
      </c>
      <c r="X142" s="15" t="n">
        <f aca="false">IF(V142=W142,1,0)</f>
        <v>0</v>
      </c>
      <c r="Y142" s="15" t="n">
        <f aca="false">IF(IF(S142&gt;=$B$7-0.000001,1,0)=W142,1,0)</f>
        <v>0</v>
      </c>
    </row>
    <row r="143" customFormat="false" ht="15" hidden="false" customHeight="false" outlineLevel="0" collapsed="false">
      <c r="N143" s="0" t="s">
        <v>45</v>
      </c>
      <c r="O143" s="0" t="s">
        <v>70</v>
      </c>
      <c r="P143" s="0" t="s">
        <v>79</v>
      </c>
      <c r="Q143" s="16" t="n">
        <f aca="false">SUMIFS('Hourly Usage'!H$4:H$63,'Hourly Usage'!$A$4:$A$63,"Year 3",'Hourly Usage'!$B$4:$B$63,$N143,'Hourly Usage'!$C$4:$C$63,$O143)</f>
        <v>0.500000000000001</v>
      </c>
      <c r="R143" s="16" t="n">
        <f aca="false">$B$5*SUMIFS('Hourly Usage'!H$4:H$63,'Hourly Usage'!$A$4:$A$63,"Year 1",'Hourly Usage'!$B$4:$B$63,$N143,'Hourly Usage'!$C$4:$C$63,$O143)+$B$6*SUMIFS('Hourly Usage'!H$4:H$63,'Hourly Usage'!$A$4:$A$63,"Year 2",'Hourly Usage'!$B$4:$B$63,$N143,'Hourly Usage'!$C$4:$C$63,$O143)</f>
        <v>0.599999999999999</v>
      </c>
      <c r="S143" s="16" t="n">
        <f aca="false">SUMIFS('Hourly Usage'!H$4:H$63,'Hourly Usage'!$A$4:$A$63,"Year 2",'Hourly Usage'!$B$4:$B$63,$N143,'Hourly Usage'!$C$4:$C$63,$O143)</f>
        <v>0.999999999999999</v>
      </c>
      <c r="T143" s="16" t="n">
        <f aca="false">ABS(Q143-R143)</f>
        <v>0.0999999999999985</v>
      </c>
      <c r="U143" s="16" t="n">
        <f aca="false">ABS(Q143-S143)</f>
        <v>0.499999999999998</v>
      </c>
      <c r="V143" s="15" t="n">
        <f aca="false">IF(R143&gt;=$B$7-0.000001,1,0)</f>
        <v>1</v>
      </c>
      <c r="W143" s="15" t="n">
        <f aca="false">IF(Q143&gt;=$B$7-0.000001,1,0)</f>
        <v>1</v>
      </c>
      <c r="X143" s="15" t="n">
        <f aca="false">IF(V143=W143,1,0)</f>
        <v>1</v>
      </c>
      <c r="Y143" s="15" t="n">
        <f aca="false">IF(IF(S143&gt;=$B$7-0.000001,1,0)=W143,1,0)</f>
        <v>1</v>
      </c>
    </row>
    <row r="144" customFormat="false" ht="15" hidden="false" customHeight="false" outlineLevel="0" collapsed="false">
      <c r="N144" s="0" t="s">
        <v>45</v>
      </c>
      <c r="O144" s="0" t="s">
        <v>70</v>
      </c>
      <c r="P144" s="0" t="s">
        <v>81</v>
      </c>
      <c r="Q144" s="16" t="n">
        <f aca="false">SUMIFS('Hourly Usage'!I$4:I$63,'Hourly Usage'!$A$4:$A$63,"Year 3",'Hourly Usage'!$B$4:$B$63,$N144,'Hourly Usage'!$C$4:$C$63,$O144)</f>
        <v>0</v>
      </c>
      <c r="R144" s="16" t="n">
        <f aca="false">$B$5*SUMIFS('Hourly Usage'!I$4:I$63,'Hourly Usage'!$A$4:$A$63,"Year 1",'Hourly Usage'!$B$4:$B$63,$N144,'Hourly Usage'!$C$4:$C$63,$O144)+$B$6*SUMIFS('Hourly Usage'!I$4:I$63,'Hourly Usage'!$A$4:$A$63,"Year 2",'Hourly Usage'!$B$4:$B$63,$N144,'Hourly Usage'!$C$4:$C$63,$O144)</f>
        <v>0.4</v>
      </c>
      <c r="S144" s="16" t="n">
        <f aca="false">SUMIFS('Hourly Usage'!I$4:I$63,'Hourly Usage'!$A$4:$A$63,"Year 2",'Hourly Usage'!$B$4:$B$63,$N144,'Hourly Usage'!$C$4:$C$63,$O144)</f>
        <v>0</v>
      </c>
      <c r="T144" s="16" t="n">
        <f aca="false">ABS(Q144-R144)</f>
        <v>0.4</v>
      </c>
      <c r="U144" s="16" t="n">
        <f aca="false">ABS(Q144-S144)</f>
        <v>0</v>
      </c>
      <c r="V144" s="15" t="n">
        <f aca="false">IF(R144&gt;=$B$7-0.000001,1,0)</f>
        <v>0</v>
      </c>
      <c r="W144" s="15" t="n">
        <f aca="false">IF(Q144&gt;=$B$7-0.000001,1,0)</f>
        <v>0</v>
      </c>
      <c r="X144" s="15" t="n">
        <f aca="false">IF(V144=W144,1,0)</f>
        <v>1</v>
      </c>
      <c r="Y144" s="15" t="n">
        <f aca="false">IF(IF(S144&gt;=$B$7-0.000001,1,0)=W144,1,0)</f>
        <v>1</v>
      </c>
    </row>
    <row r="145" customFormat="false" ht="15" hidden="false" customHeight="false" outlineLevel="0" collapsed="false">
      <c r="N145" s="0" t="s">
        <v>45</v>
      </c>
      <c r="O145" s="0" t="s">
        <v>70</v>
      </c>
      <c r="P145" s="0" t="s">
        <v>85</v>
      </c>
      <c r="Q145" s="16" t="n">
        <f aca="false">SUMIFS('Hourly Usage'!J$4:J$63,'Hourly Usage'!$A$4:$A$63,"Year 3",'Hourly Usage'!$B$4:$B$63,$N145,'Hourly Usage'!$C$4:$C$63,$O145)</f>
        <v>0</v>
      </c>
      <c r="R145" s="16" t="n">
        <f aca="false">$B$5*SUMIFS('Hourly Usage'!J$4:J$63,'Hourly Usage'!$A$4:$A$63,"Year 1",'Hourly Usage'!$B$4:$B$63,$N145,'Hourly Usage'!$C$4:$C$63,$O145)+$B$6*SUMIFS('Hourly Usage'!J$4:J$63,'Hourly Usage'!$A$4:$A$63,"Year 2",'Hourly Usage'!$B$4:$B$63,$N145,'Hourly Usage'!$C$4:$C$63,$O145)</f>
        <v>0.199999999999998</v>
      </c>
      <c r="S145" s="16" t="n">
        <f aca="false">SUMIFS('Hourly Usage'!J$4:J$63,'Hourly Usage'!$A$4:$A$63,"Year 2",'Hourly Usage'!$B$4:$B$63,$N145,'Hourly Usage'!$C$4:$C$63,$O145)</f>
        <v>0</v>
      </c>
      <c r="T145" s="16" t="n">
        <f aca="false">ABS(Q145-R145)</f>
        <v>0.199999999999998</v>
      </c>
      <c r="U145" s="16" t="n">
        <f aca="false">ABS(Q145-S145)</f>
        <v>0</v>
      </c>
      <c r="V145" s="15" t="n">
        <f aca="false">IF(R145&gt;=$B$7-0.000001,1,0)</f>
        <v>0</v>
      </c>
      <c r="W145" s="15" t="n">
        <f aca="false">IF(Q145&gt;=$B$7-0.000001,1,0)</f>
        <v>0</v>
      </c>
      <c r="X145" s="15" t="n">
        <f aca="false">IF(V145=W145,1,0)</f>
        <v>1</v>
      </c>
      <c r="Y145" s="15" t="n">
        <f aca="false">IF(IF(S145&gt;=$B$7-0.000001,1,0)=W145,1,0)</f>
        <v>1</v>
      </c>
    </row>
    <row r="146" customFormat="false" ht="15" hidden="false" customHeight="false" outlineLevel="0" collapsed="false">
      <c r="N146" s="0" t="s">
        <v>45</v>
      </c>
      <c r="O146" s="0" t="s">
        <v>70</v>
      </c>
      <c r="P146" s="0" t="s">
        <v>88</v>
      </c>
      <c r="Q146" s="16" t="n">
        <f aca="false">SUMIFS('Hourly Usage'!K$4:K$63,'Hourly Usage'!$A$4:$A$63,"Year 3",'Hourly Usage'!$B$4:$B$63,$N146,'Hourly Usage'!$C$4:$C$63,$O146)</f>
        <v>0</v>
      </c>
      <c r="R146" s="16" t="n">
        <f aca="false">$B$5*SUMIFS('Hourly Usage'!K$4:K$63,'Hourly Usage'!$A$4:$A$63,"Year 1",'Hourly Usage'!$B$4:$B$63,$N146,'Hourly Usage'!$C$4:$C$63,$O146)+$B$6*SUMIFS('Hourly Usage'!K$4:K$63,'Hourly Usage'!$A$4:$A$63,"Year 2",'Hourly Usage'!$B$4:$B$63,$N146,'Hourly Usage'!$C$4:$C$63,$O146)</f>
        <v>0.299999999999997</v>
      </c>
      <c r="S146" s="16" t="n">
        <f aca="false">SUMIFS('Hourly Usage'!K$4:K$63,'Hourly Usage'!$A$4:$A$63,"Year 2",'Hourly Usage'!$B$4:$B$63,$N146,'Hourly Usage'!$C$4:$C$63,$O146)</f>
        <v>0.499999999999996</v>
      </c>
      <c r="T146" s="16" t="n">
        <f aca="false">ABS(Q146-R146)</f>
        <v>0.299999999999997</v>
      </c>
      <c r="U146" s="16" t="n">
        <f aca="false">ABS(Q146-S146)</f>
        <v>0.499999999999996</v>
      </c>
      <c r="V146" s="15" t="n">
        <f aca="false">IF(R146&gt;=$B$7-0.000001,1,0)</f>
        <v>0</v>
      </c>
      <c r="W146" s="15" t="n">
        <f aca="false">IF(Q146&gt;=$B$7-0.000001,1,0)</f>
        <v>0</v>
      </c>
      <c r="X146" s="15" t="n">
        <f aca="false">IF(V146=W146,1,0)</f>
        <v>1</v>
      </c>
      <c r="Y146" s="15" t="n">
        <f aca="false">IF(IF(S146&gt;=$B$7-0.000001,1,0)=W146,1,0)</f>
        <v>0</v>
      </c>
    </row>
    <row r="147" customFormat="false" ht="15" hidden="false" customHeight="false" outlineLevel="0" collapsed="false">
      <c r="N147" s="0" t="s">
        <v>45</v>
      </c>
      <c r="O147" s="0" t="s">
        <v>70</v>
      </c>
      <c r="P147" s="0" t="s">
        <v>91</v>
      </c>
      <c r="Q147" s="16" t="n">
        <f aca="false">SUMIFS('Hourly Usage'!L$4:L$63,'Hourly Usage'!$A$4:$A$63,"Year 3",'Hourly Usage'!$B$4:$B$63,$N147,'Hourly Usage'!$C$4:$C$63,$O147)</f>
        <v>0</v>
      </c>
      <c r="R147" s="16" t="n">
        <f aca="false">$B$5*SUMIFS('Hourly Usage'!L$4:L$63,'Hourly Usage'!$A$4:$A$63,"Year 1",'Hourly Usage'!$B$4:$B$63,$N147,'Hourly Usage'!$C$4:$C$63,$O147)+$B$6*SUMIFS('Hourly Usage'!L$4:L$63,'Hourly Usage'!$A$4:$A$63,"Year 2",'Hourly Usage'!$B$4:$B$63,$N147,'Hourly Usage'!$C$4:$C$63,$O147)</f>
        <v>0.6</v>
      </c>
      <c r="S147" s="16" t="n">
        <f aca="false">SUMIFS('Hourly Usage'!L$4:L$63,'Hourly Usage'!$A$4:$A$63,"Year 2",'Hourly Usage'!$B$4:$B$63,$N147,'Hourly Usage'!$C$4:$C$63,$O147)</f>
        <v>1</v>
      </c>
      <c r="T147" s="16" t="n">
        <f aca="false">ABS(Q147-R147)</f>
        <v>0.6</v>
      </c>
      <c r="U147" s="16" t="n">
        <f aca="false">ABS(Q147-S147)</f>
        <v>1</v>
      </c>
      <c r="V147" s="15" t="n">
        <f aca="false">IF(R147&gt;=$B$7-0.000001,1,0)</f>
        <v>1</v>
      </c>
      <c r="W147" s="15" t="n">
        <f aca="false">IF(Q147&gt;=$B$7-0.000001,1,0)</f>
        <v>0</v>
      </c>
      <c r="X147" s="15" t="n">
        <f aca="false">IF(V147=W147,1,0)</f>
        <v>0</v>
      </c>
      <c r="Y147" s="15" t="n">
        <f aca="false">IF(IF(S147&gt;=$B$7-0.000001,1,0)=W147,1,0)</f>
        <v>0</v>
      </c>
    </row>
    <row r="148" customFormat="false" ht="15" hidden="false" customHeight="false" outlineLevel="0" collapsed="false">
      <c r="N148" s="0" t="s">
        <v>45</v>
      </c>
      <c r="O148" s="0" t="s">
        <v>94</v>
      </c>
      <c r="P148" s="0" t="s">
        <v>71</v>
      </c>
      <c r="Q148" s="16" t="n">
        <f aca="false">SUMIFS('Hourly Usage'!D$4:D$63,'Hourly Usage'!$A$4:$A$63,"Year 3",'Hourly Usage'!$B$4:$B$63,$N148,'Hourly Usage'!$C$4:$C$63,$O148)</f>
        <v>0</v>
      </c>
      <c r="R148" s="16" t="n">
        <f aca="false">$B$5*SUMIFS('Hourly Usage'!D$4:D$63,'Hourly Usage'!$A$4:$A$63,"Year 1",'Hourly Usage'!$B$4:$B$63,$N148,'Hourly Usage'!$C$4:$C$63,$O148)+$B$6*SUMIFS('Hourly Usage'!D$4:D$63,'Hourly Usage'!$A$4:$A$63,"Year 2",'Hourly Usage'!$B$4:$B$63,$N148,'Hourly Usage'!$C$4:$C$63,$O148)</f>
        <v>0</v>
      </c>
      <c r="S148" s="16" t="n">
        <f aca="false">SUMIFS('Hourly Usage'!D$4:D$63,'Hourly Usage'!$A$4:$A$63,"Year 2",'Hourly Usage'!$B$4:$B$63,$N148,'Hourly Usage'!$C$4:$C$63,$O148)</f>
        <v>0</v>
      </c>
      <c r="T148" s="16" t="n">
        <f aca="false">ABS(Q148-R148)</f>
        <v>0</v>
      </c>
      <c r="U148" s="16" t="n">
        <f aca="false">ABS(Q148-S148)</f>
        <v>0</v>
      </c>
      <c r="V148" s="15" t="n">
        <f aca="false">IF(R148&gt;=$B$7-0.000001,1,0)</f>
        <v>0</v>
      </c>
      <c r="W148" s="15" t="n">
        <f aca="false">IF(Q148&gt;=$B$7-0.000001,1,0)</f>
        <v>0</v>
      </c>
      <c r="X148" s="15" t="n">
        <f aca="false">IF(V148=W148,1,0)</f>
        <v>1</v>
      </c>
      <c r="Y148" s="15" t="n">
        <f aca="false">IF(IF(S148&gt;=$B$7-0.000001,1,0)=W148,1,0)</f>
        <v>1</v>
      </c>
    </row>
    <row r="149" customFormat="false" ht="15" hidden="false" customHeight="false" outlineLevel="0" collapsed="false">
      <c r="N149" s="0" t="s">
        <v>45</v>
      </c>
      <c r="O149" s="0" t="s">
        <v>94</v>
      </c>
      <c r="P149" s="0" t="s">
        <v>74</v>
      </c>
      <c r="Q149" s="16" t="n">
        <f aca="false">SUMIFS('Hourly Usage'!E$4:E$63,'Hourly Usage'!$A$4:$A$63,"Year 3",'Hourly Usage'!$B$4:$B$63,$N149,'Hourly Usage'!$C$4:$C$63,$O149)</f>
        <v>0</v>
      </c>
      <c r="R149" s="16" t="n">
        <f aca="false">$B$5*SUMIFS('Hourly Usage'!E$4:E$63,'Hourly Usage'!$A$4:$A$63,"Year 1",'Hourly Usage'!$B$4:$B$63,$N149,'Hourly Usage'!$C$4:$C$63,$O149)+$B$6*SUMIFS('Hourly Usage'!E$4:E$63,'Hourly Usage'!$A$4:$A$63,"Year 2",'Hourly Usage'!$B$4:$B$63,$N149,'Hourly Usage'!$C$4:$C$63,$O149)</f>
        <v>0</v>
      </c>
      <c r="S149" s="16" t="n">
        <f aca="false">SUMIFS('Hourly Usage'!E$4:E$63,'Hourly Usage'!$A$4:$A$63,"Year 2",'Hourly Usage'!$B$4:$B$63,$N149,'Hourly Usage'!$C$4:$C$63,$O149)</f>
        <v>0</v>
      </c>
      <c r="T149" s="16" t="n">
        <f aca="false">ABS(Q149-R149)</f>
        <v>0</v>
      </c>
      <c r="U149" s="16" t="n">
        <f aca="false">ABS(Q149-S149)</f>
        <v>0</v>
      </c>
      <c r="V149" s="15" t="n">
        <f aca="false">IF(R149&gt;=$B$7-0.000001,1,0)</f>
        <v>0</v>
      </c>
      <c r="W149" s="15" t="n">
        <f aca="false">IF(Q149&gt;=$B$7-0.000001,1,0)</f>
        <v>0</v>
      </c>
      <c r="X149" s="15" t="n">
        <f aca="false">IF(V149=W149,1,0)</f>
        <v>1</v>
      </c>
      <c r="Y149" s="15" t="n">
        <f aca="false">IF(IF(S149&gt;=$B$7-0.000001,1,0)=W149,1,0)</f>
        <v>1</v>
      </c>
    </row>
    <row r="150" customFormat="false" ht="15" hidden="false" customHeight="false" outlineLevel="0" collapsed="false">
      <c r="N150" s="0" t="s">
        <v>45</v>
      </c>
      <c r="O150" s="0" t="s">
        <v>94</v>
      </c>
      <c r="P150" s="0" t="s">
        <v>76</v>
      </c>
      <c r="Q150" s="16" t="n">
        <f aca="false">SUMIFS('Hourly Usage'!F$4:F$63,'Hourly Usage'!$A$4:$A$63,"Year 3",'Hourly Usage'!$B$4:$B$63,$N150,'Hourly Usage'!$C$4:$C$63,$O150)</f>
        <v>0</v>
      </c>
      <c r="R150" s="16" t="n">
        <f aca="false">$B$5*SUMIFS('Hourly Usage'!F$4:F$63,'Hourly Usage'!$A$4:$A$63,"Year 1",'Hourly Usage'!$B$4:$B$63,$N150,'Hourly Usage'!$C$4:$C$63,$O150)+$B$6*SUMIFS('Hourly Usage'!F$4:F$63,'Hourly Usage'!$A$4:$A$63,"Year 2",'Hourly Usage'!$B$4:$B$63,$N150,'Hourly Usage'!$C$4:$C$63,$O150)</f>
        <v>0.299999999999999</v>
      </c>
      <c r="S150" s="16" t="n">
        <f aca="false">SUMIFS('Hourly Usage'!F$4:F$63,'Hourly Usage'!$A$4:$A$63,"Year 2",'Hourly Usage'!$B$4:$B$63,$N150,'Hourly Usage'!$C$4:$C$63,$O150)</f>
        <v>0.499999999999998</v>
      </c>
      <c r="T150" s="16" t="n">
        <f aca="false">ABS(Q150-R150)</f>
        <v>0.299999999999999</v>
      </c>
      <c r="U150" s="16" t="n">
        <f aca="false">ABS(Q150-S150)</f>
        <v>0.499999999999998</v>
      </c>
      <c r="V150" s="15" t="n">
        <f aca="false">IF(R150&gt;=$B$7-0.000001,1,0)</f>
        <v>0</v>
      </c>
      <c r="W150" s="15" t="n">
        <f aca="false">IF(Q150&gt;=$B$7-0.000001,1,0)</f>
        <v>0</v>
      </c>
      <c r="X150" s="15" t="n">
        <f aca="false">IF(V150=W150,1,0)</f>
        <v>1</v>
      </c>
      <c r="Y150" s="15" t="n">
        <f aca="false">IF(IF(S150&gt;=$B$7-0.000001,1,0)=W150,1,0)</f>
        <v>0</v>
      </c>
    </row>
    <row r="151" customFormat="false" ht="15" hidden="false" customHeight="false" outlineLevel="0" collapsed="false">
      <c r="N151" s="0" t="s">
        <v>45</v>
      </c>
      <c r="O151" s="0" t="s">
        <v>94</v>
      </c>
      <c r="P151" s="0" t="s">
        <v>78</v>
      </c>
      <c r="Q151" s="16" t="n">
        <f aca="false">SUMIFS('Hourly Usage'!G$4:G$63,'Hourly Usage'!$A$4:$A$63,"Year 3",'Hourly Usage'!$B$4:$B$63,$N151,'Hourly Usage'!$C$4:$C$63,$O151)</f>
        <v>1</v>
      </c>
      <c r="R151" s="16" t="n">
        <f aca="false">$B$5*SUMIFS('Hourly Usage'!G$4:G$63,'Hourly Usage'!$A$4:$A$63,"Year 1",'Hourly Usage'!$B$4:$B$63,$N151,'Hourly Usage'!$C$4:$C$63,$O151)+$B$6*SUMIFS('Hourly Usage'!G$4:G$63,'Hourly Usage'!$A$4:$A$63,"Year 2",'Hourly Usage'!$B$4:$B$63,$N151,'Hourly Usage'!$C$4:$C$63,$O151)</f>
        <v>0.6</v>
      </c>
      <c r="S151" s="16" t="n">
        <f aca="false">SUMIFS('Hourly Usage'!G$4:G$63,'Hourly Usage'!$A$4:$A$63,"Year 2",'Hourly Usage'!$B$4:$B$63,$N151,'Hourly Usage'!$C$4:$C$63,$O151)</f>
        <v>1</v>
      </c>
      <c r="T151" s="16" t="n">
        <f aca="false">ABS(Q151-R151)</f>
        <v>0.4</v>
      </c>
      <c r="U151" s="16" t="n">
        <f aca="false">ABS(Q151-S151)</f>
        <v>0</v>
      </c>
      <c r="V151" s="15" t="n">
        <f aca="false">IF(R151&gt;=$B$7-0.000001,1,0)</f>
        <v>1</v>
      </c>
      <c r="W151" s="15" t="n">
        <f aca="false">IF(Q151&gt;=$B$7-0.000001,1,0)</f>
        <v>1</v>
      </c>
      <c r="X151" s="15" t="n">
        <f aca="false">IF(V151=W151,1,0)</f>
        <v>1</v>
      </c>
      <c r="Y151" s="15" t="n">
        <f aca="false">IF(IF(S151&gt;=$B$7-0.000001,1,0)=W151,1,0)</f>
        <v>1</v>
      </c>
    </row>
    <row r="152" customFormat="false" ht="15" hidden="false" customHeight="false" outlineLevel="0" collapsed="false">
      <c r="N152" s="0" t="s">
        <v>45</v>
      </c>
      <c r="O152" s="0" t="s">
        <v>94</v>
      </c>
      <c r="P152" s="0" t="s">
        <v>79</v>
      </c>
      <c r="Q152" s="16" t="n">
        <f aca="false">SUMIFS('Hourly Usage'!H$4:H$63,'Hourly Usage'!$A$4:$A$63,"Year 3",'Hourly Usage'!$B$4:$B$63,$N152,'Hourly Usage'!$C$4:$C$63,$O152)</f>
        <v>0.999999999999996</v>
      </c>
      <c r="R152" s="16" t="n">
        <f aca="false">$B$5*SUMIFS('Hourly Usage'!H$4:H$63,'Hourly Usage'!$A$4:$A$63,"Year 1",'Hourly Usage'!$B$4:$B$63,$N152,'Hourly Usage'!$C$4:$C$63,$O152)+$B$6*SUMIFS('Hourly Usage'!H$4:H$63,'Hourly Usage'!$A$4:$A$63,"Year 2",'Hourly Usage'!$B$4:$B$63,$N152,'Hourly Usage'!$C$4:$C$63,$O152)</f>
        <v>0.999999999999999</v>
      </c>
      <c r="S152" s="16" t="n">
        <f aca="false">SUMIFS('Hourly Usage'!H$4:H$63,'Hourly Usage'!$A$4:$A$63,"Year 2",'Hourly Usage'!$B$4:$B$63,$N152,'Hourly Usage'!$C$4:$C$63,$O152)</f>
        <v>0.999999999999999</v>
      </c>
      <c r="T152" s="16" t="n">
        <f aca="false">ABS(Q152-R152)</f>
        <v>0</v>
      </c>
      <c r="U152" s="16" t="n">
        <f aca="false">ABS(Q152-S152)</f>
        <v>0</v>
      </c>
      <c r="V152" s="15" t="n">
        <f aca="false">IF(R152&gt;=$B$7-0.000001,1,0)</f>
        <v>1</v>
      </c>
      <c r="W152" s="15" t="n">
        <f aca="false">IF(Q152&gt;=$B$7-0.000001,1,0)</f>
        <v>1</v>
      </c>
      <c r="X152" s="15" t="n">
        <f aca="false">IF(V152=W152,1,0)</f>
        <v>1</v>
      </c>
      <c r="Y152" s="15" t="n">
        <f aca="false">IF(IF(S152&gt;=$B$7-0.000001,1,0)=W152,1,0)</f>
        <v>1</v>
      </c>
    </row>
    <row r="153" customFormat="false" ht="15" hidden="false" customHeight="false" outlineLevel="0" collapsed="false">
      <c r="N153" s="0" t="s">
        <v>45</v>
      </c>
      <c r="O153" s="0" t="s">
        <v>94</v>
      </c>
      <c r="P153" s="0" t="s">
        <v>81</v>
      </c>
      <c r="Q153" s="16" t="n">
        <f aca="false">SUMIFS('Hourly Usage'!I$4:I$63,'Hourly Usage'!$A$4:$A$63,"Year 3",'Hourly Usage'!$B$4:$B$63,$N153,'Hourly Usage'!$C$4:$C$63,$O153)</f>
        <v>0.500000000000001</v>
      </c>
      <c r="R153" s="16" t="n">
        <f aca="false">$B$5*SUMIFS('Hourly Usage'!I$4:I$63,'Hourly Usage'!$A$4:$A$63,"Year 1",'Hourly Usage'!$B$4:$B$63,$N153,'Hourly Usage'!$C$4:$C$63,$O153)+$B$6*SUMIFS('Hourly Usage'!I$4:I$63,'Hourly Usage'!$A$4:$A$63,"Year 2",'Hourly Usage'!$B$4:$B$63,$N153,'Hourly Usage'!$C$4:$C$63,$O153)</f>
        <v>1</v>
      </c>
      <c r="S153" s="16" t="n">
        <f aca="false">SUMIFS('Hourly Usage'!I$4:I$63,'Hourly Usage'!$A$4:$A$63,"Year 2",'Hourly Usage'!$B$4:$B$63,$N153,'Hourly Usage'!$C$4:$C$63,$O153)</f>
        <v>1</v>
      </c>
      <c r="T153" s="16" t="n">
        <f aca="false">ABS(Q153-R153)</f>
        <v>0.499999999999999</v>
      </c>
      <c r="U153" s="16" t="n">
        <f aca="false">ABS(Q153-S153)</f>
        <v>0.499999999999999</v>
      </c>
      <c r="V153" s="15" t="n">
        <f aca="false">IF(R153&gt;=$B$7-0.000001,1,0)</f>
        <v>1</v>
      </c>
      <c r="W153" s="15" t="n">
        <f aca="false">IF(Q153&gt;=$B$7-0.000001,1,0)</f>
        <v>1</v>
      </c>
      <c r="X153" s="15" t="n">
        <f aca="false">IF(V153=W153,1,0)</f>
        <v>1</v>
      </c>
      <c r="Y153" s="15" t="n">
        <f aca="false">IF(IF(S153&gt;=$B$7-0.000001,1,0)=W153,1,0)</f>
        <v>1</v>
      </c>
    </row>
    <row r="154" customFormat="false" ht="15" hidden="false" customHeight="false" outlineLevel="0" collapsed="false">
      <c r="N154" s="0" t="s">
        <v>45</v>
      </c>
      <c r="O154" s="0" t="s">
        <v>94</v>
      </c>
      <c r="P154" s="0" t="s">
        <v>85</v>
      </c>
      <c r="Q154" s="16" t="n">
        <f aca="false">SUMIFS('Hourly Usage'!J$4:J$63,'Hourly Usage'!$A$4:$A$63,"Year 3",'Hourly Usage'!$B$4:$B$63,$N154,'Hourly Usage'!$C$4:$C$63,$O154)</f>
        <v>0</v>
      </c>
      <c r="R154" s="16" t="n">
        <f aca="false">$B$5*SUMIFS('Hourly Usage'!J$4:J$63,'Hourly Usage'!$A$4:$A$63,"Year 1",'Hourly Usage'!$B$4:$B$63,$N154,'Hourly Usage'!$C$4:$C$63,$O154)+$B$6*SUMIFS('Hourly Usage'!J$4:J$63,'Hourly Usage'!$A$4:$A$63,"Year 2",'Hourly Usage'!$B$4:$B$63,$N154,'Hourly Usage'!$C$4:$C$63,$O154)</f>
        <v>0</v>
      </c>
      <c r="S154" s="16" t="n">
        <f aca="false">SUMIFS('Hourly Usage'!J$4:J$63,'Hourly Usage'!$A$4:$A$63,"Year 2",'Hourly Usage'!$B$4:$B$63,$N154,'Hourly Usage'!$C$4:$C$63,$O154)</f>
        <v>0</v>
      </c>
      <c r="T154" s="16" t="n">
        <f aca="false">ABS(Q154-R154)</f>
        <v>0</v>
      </c>
      <c r="U154" s="16" t="n">
        <f aca="false">ABS(Q154-S154)</f>
        <v>0</v>
      </c>
      <c r="V154" s="15" t="n">
        <f aca="false">IF(R154&gt;=$B$7-0.000001,1,0)</f>
        <v>0</v>
      </c>
      <c r="W154" s="15" t="n">
        <f aca="false">IF(Q154&gt;=$B$7-0.000001,1,0)</f>
        <v>0</v>
      </c>
      <c r="X154" s="15" t="n">
        <f aca="false">IF(V154=W154,1,0)</f>
        <v>1</v>
      </c>
      <c r="Y154" s="15" t="n">
        <f aca="false">IF(IF(S154&gt;=$B$7-0.000001,1,0)=W154,1,0)</f>
        <v>1</v>
      </c>
    </row>
    <row r="155" customFormat="false" ht="15" hidden="false" customHeight="false" outlineLevel="0" collapsed="false">
      <c r="N155" s="0" t="s">
        <v>45</v>
      </c>
      <c r="O155" s="0" t="s">
        <v>94</v>
      </c>
      <c r="P155" s="0" t="s">
        <v>88</v>
      </c>
      <c r="Q155" s="16" t="n">
        <f aca="false">SUMIFS('Hourly Usage'!K$4:K$63,'Hourly Usage'!$A$4:$A$63,"Year 3",'Hourly Usage'!$B$4:$B$63,$N155,'Hourly Usage'!$C$4:$C$63,$O155)</f>
        <v>0</v>
      </c>
      <c r="R155" s="16" t="n">
        <f aca="false">$B$5*SUMIFS('Hourly Usage'!K$4:K$63,'Hourly Usage'!$A$4:$A$63,"Year 1",'Hourly Usage'!$B$4:$B$63,$N155,'Hourly Usage'!$C$4:$C$63,$O155)+$B$6*SUMIFS('Hourly Usage'!K$4:K$63,'Hourly Usage'!$A$4:$A$63,"Year 2",'Hourly Usage'!$B$4:$B$63,$N155,'Hourly Usage'!$C$4:$C$63,$O155)</f>
        <v>0</v>
      </c>
      <c r="S155" s="16" t="n">
        <f aca="false">SUMIFS('Hourly Usage'!K$4:K$63,'Hourly Usage'!$A$4:$A$63,"Year 2",'Hourly Usage'!$B$4:$B$63,$N155,'Hourly Usage'!$C$4:$C$63,$O155)</f>
        <v>0</v>
      </c>
      <c r="T155" s="16" t="n">
        <f aca="false">ABS(Q155-R155)</f>
        <v>0</v>
      </c>
      <c r="U155" s="16" t="n">
        <f aca="false">ABS(Q155-S155)</f>
        <v>0</v>
      </c>
      <c r="V155" s="15" t="n">
        <f aca="false">IF(R155&gt;=$B$7-0.000001,1,0)</f>
        <v>0</v>
      </c>
      <c r="W155" s="15" t="n">
        <f aca="false">IF(Q155&gt;=$B$7-0.000001,1,0)</f>
        <v>0</v>
      </c>
      <c r="X155" s="15" t="n">
        <f aca="false">IF(V155=W155,1,0)</f>
        <v>1</v>
      </c>
      <c r="Y155" s="15" t="n">
        <f aca="false">IF(IF(S155&gt;=$B$7-0.000001,1,0)=W155,1,0)</f>
        <v>1</v>
      </c>
    </row>
    <row r="156" customFormat="false" ht="15" hidden="false" customHeight="false" outlineLevel="0" collapsed="false">
      <c r="N156" s="0" t="s">
        <v>45</v>
      </c>
      <c r="O156" s="0" t="s">
        <v>94</v>
      </c>
      <c r="P156" s="0" t="s">
        <v>91</v>
      </c>
      <c r="Q156" s="16" t="n">
        <f aca="false">SUMIFS('Hourly Usage'!L$4:L$63,'Hourly Usage'!$A$4:$A$63,"Year 3",'Hourly Usage'!$B$4:$B$63,$N156,'Hourly Usage'!$C$4:$C$63,$O156)</f>
        <v>0</v>
      </c>
      <c r="R156" s="16" t="n">
        <f aca="false">$B$5*SUMIFS('Hourly Usage'!L$4:L$63,'Hourly Usage'!$A$4:$A$63,"Year 1",'Hourly Usage'!$B$4:$B$63,$N156,'Hourly Usage'!$C$4:$C$63,$O156)+$B$6*SUMIFS('Hourly Usage'!L$4:L$63,'Hourly Usage'!$A$4:$A$63,"Year 2",'Hourly Usage'!$B$4:$B$63,$N156,'Hourly Usage'!$C$4:$C$63,$O156)</f>
        <v>0</v>
      </c>
      <c r="S156" s="16" t="n">
        <f aca="false">SUMIFS('Hourly Usage'!L$4:L$63,'Hourly Usage'!$A$4:$A$63,"Year 2",'Hourly Usage'!$B$4:$B$63,$N156,'Hourly Usage'!$C$4:$C$63,$O156)</f>
        <v>0</v>
      </c>
      <c r="T156" s="16" t="n">
        <f aca="false">ABS(Q156-R156)</f>
        <v>0</v>
      </c>
      <c r="U156" s="16" t="n">
        <f aca="false">ABS(Q156-S156)</f>
        <v>0</v>
      </c>
      <c r="V156" s="15" t="n">
        <f aca="false">IF(R156&gt;=$B$7-0.000001,1,0)</f>
        <v>0</v>
      </c>
      <c r="W156" s="15" t="n">
        <f aca="false">IF(Q156&gt;=$B$7-0.000001,1,0)</f>
        <v>0</v>
      </c>
      <c r="X156" s="15" t="n">
        <f aca="false">IF(V156=W156,1,0)</f>
        <v>1</v>
      </c>
      <c r="Y156" s="15" t="n">
        <f aca="false">IF(IF(S156&gt;=$B$7-0.000001,1,0)=W156,1,0)</f>
        <v>1</v>
      </c>
    </row>
    <row r="157" customFormat="false" ht="15" hidden="false" customHeight="false" outlineLevel="0" collapsed="false">
      <c r="N157" s="0" t="s">
        <v>45</v>
      </c>
      <c r="O157" s="0" t="s">
        <v>105</v>
      </c>
      <c r="P157" s="0" t="s">
        <v>71</v>
      </c>
      <c r="Q157" s="16" t="n">
        <f aca="false">SUMIFS('Hourly Usage'!D$4:D$63,'Hourly Usage'!$A$4:$A$63,"Year 3",'Hourly Usage'!$B$4:$B$63,$N157,'Hourly Usage'!$C$4:$C$63,$O157)</f>
        <v>0</v>
      </c>
      <c r="R157" s="16" t="n">
        <f aca="false">$B$5*SUMIFS('Hourly Usage'!D$4:D$63,'Hourly Usage'!$A$4:$A$63,"Year 1",'Hourly Usage'!$B$4:$B$63,$N157,'Hourly Usage'!$C$4:$C$63,$O157)+$B$6*SUMIFS('Hourly Usage'!D$4:D$63,'Hourly Usage'!$A$4:$A$63,"Year 2",'Hourly Usage'!$B$4:$B$63,$N157,'Hourly Usage'!$C$4:$C$63,$O157)</f>
        <v>0</v>
      </c>
      <c r="S157" s="16" t="n">
        <f aca="false">SUMIFS('Hourly Usage'!D$4:D$63,'Hourly Usage'!$A$4:$A$63,"Year 2",'Hourly Usage'!$B$4:$B$63,$N157,'Hourly Usage'!$C$4:$C$63,$O157)</f>
        <v>0</v>
      </c>
      <c r="T157" s="16" t="n">
        <f aca="false">ABS(Q157-R157)</f>
        <v>0</v>
      </c>
      <c r="U157" s="16" t="n">
        <f aca="false">ABS(Q157-S157)</f>
        <v>0</v>
      </c>
      <c r="V157" s="15" t="n">
        <f aca="false">IF(R157&gt;=$B$7-0.000001,1,0)</f>
        <v>0</v>
      </c>
      <c r="W157" s="15" t="n">
        <f aca="false">IF(Q157&gt;=$B$7-0.000001,1,0)</f>
        <v>0</v>
      </c>
      <c r="X157" s="15" t="n">
        <f aca="false">IF(V157=W157,1,0)</f>
        <v>1</v>
      </c>
      <c r="Y157" s="15" t="n">
        <f aca="false">IF(IF(S157&gt;=$B$7-0.000001,1,0)=W157,1,0)</f>
        <v>1</v>
      </c>
    </row>
    <row r="158" customFormat="false" ht="15" hidden="false" customHeight="false" outlineLevel="0" collapsed="false">
      <c r="N158" s="0" t="s">
        <v>45</v>
      </c>
      <c r="O158" s="0" t="s">
        <v>105</v>
      </c>
      <c r="P158" s="0" t="s">
        <v>74</v>
      </c>
      <c r="Q158" s="16" t="n">
        <f aca="false">SUMIFS('Hourly Usage'!E$4:E$63,'Hourly Usage'!$A$4:$A$63,"Year 3",'Hourly Usage'!$B$4:$B$63,$N158,'Hourly Usage'!$C$4:$C$63,$O158)</f>
        <v>0.500000000000002</v>
      </c>
      <c r="R158" s="16" t="n">
        <f aca="false">$B$5*SUMIFS('Hourly Usage'!E$4:E$63,'Hourly Usage'!$A$4:$A$63,"Year 1",'Hourly Usage'!$B$4:$B$63,$N158,'Hourly Usage'!$C$4:$C$63,$O158)+$B$6*SUMIFS('Hourly Usage'!E$4:E$63,'Hourly Usage'!$A$4:$A$63,"Year 2",'Hourly Usage'!$B$4:$B$63,$N158,'Hourly Usage'!$C$4:$C$63,$O158)</f>
        <v>0</v>
      </c>
      <c r="S158" s="16" t="n">
        <f aca="false">SUMIFS('Hourly Usage'!E$4:E$63,'Hourly Usage'!$A$4:$A$63,"Year 2",'Hourly Usage'!$B$4:$B$63,$N158,'Hourly Usage'!$C$4:$C$63,$O158)</f>
        <v>0</v>
      </c>
      <c r="T158" s="16" t="n">
        <f aca="false">ABS(Q158-R158)</f>
        <v>0.500000000000002</v>
      </c>
      <c r="U158" s="16" t="n">
        <f aca="false">ABS(Q158-S158)</f>
        <v>0.500000000000002</v>
      </c>
      <c r="V158" s="15" t="n">
        <f aca="false">IF(R158&gt;=$B$7-0.000001,1,0)</f>
        <v>0</v>
      </c>
      <c r="W158" s="15" t="n">
        <f aca="false">IF(Q158&gt;=$B$7-0.000001,1,0)</f>
        <v>1</v>
      </c>
      <c r="X158" s="15" t="n">
        <f aca="false">IF(V158=W158,1,0)</f>
        <v>0</v>
      </c>
      <c r="Y158" s="15" t="n">
        <f aca="false">IF(IF(S158&gt;=$B$7-0.000001,1,0)=W158,1,0)</f>
        <v>0</v>
      </c>
    </row>
    <row r="159" customFormat="false" ht="15" hidden="false" customHeight="false" outlineLevel="0" collapsed="false">
      <c r="N159" s="0" t="s">
        <v>45</v>
      </c>
      <c r="O159" s="0" t="s">
        <v>105</v>
      </c>
      <c r="P159" s="0" t="s">
        <v>76</v>
      </c>
      <c r="Q159" s="16" t="n">
        <f aca="false">SUMIFS('Hourly Usage'!F$4:F$63,'Hourly Usage'!$A$4:$A$63,"Year 3",'Hourly Usage'!$B$4:$B$63,$N159,'Hourly Usage'!$C$4:$C$63,$O159)</f>
        <v>0.999999999999999</v>
      </c>
      <c r="R159" s="16" t="n">
        <f aca="false">$B$5*SUMIFS('Hourly Usage'!F$4:F$63,'Hourly Usage'!$A$4:$A$63,"Year 1",'Hourly Usage'!$B$4:$B$63,$N159,'Hourly Usage'!$C$4:$C$63,$O159)+$B$6*SUMIFS('Hourly Usage'!F$4:F$63,'Hourly Usage'!$A$4:$A$63,"Year 2",'Hourly Usage'!$B$4:$B$63,$N159,'Hourly Usage'!$C$4:$C$63,$O159)</f>
        <v>0</v>
      </c>
      <c r="S159" s="16" t="n">
        <f aca="false">SUMIFS('Hourly Usage'!F$4:F$63,'Hourly Usage'!$A$4:$A$63,"Year 2",'Hourly Usage'!$B$4:$B$63,$N159,'Hourly Usage'!$C$4:$C$63,$O159)</f>
        <v>0</v>
      </c>
      <c r="T159" s="16" t="n">
        <f aca="false">ABS(Q159-R159)</f>
        <v>0.999999999999999</v>
      </c>
      <c r="U159" s="16" t="n">
        <f aca="false">ABS(Q159-S159)</f>
        <v>0.999999999999999</v>
      </c>
      <c r="V159" s="15" t="n">
        <f aca="false">IF(R159&gt;=$B$7-0.000001,1,0)</f>
        <v>0</v>
      </c>
      <c r="W159" s="15" t="n">
        <f aca="false">IF(Q159&gt;=$B$7-0.000001,1,0)</f>
        <v>1</v>
      </c>
      <c r="X159" s="15" t="n">
        <f aca="false">IF(V159=W159,1,0)</f>
        <v>0</v>
      </c>
      <c r="Y159" s="15" t="n">
        <f aca="false">IF(IF(S159&gt;=$B$7-0.000001,1,0)=W159,1,0)</f>
        <v>0</v>
      </c>
    </row>
    <row r="160" customFormat="false" ht="15" hidden="false" customHeight="false" outlineLevel="0" collapsed="false">
      <c r="N160" s="0" t="s">
        <v>45</v>
      </c>
      <c r="O160" s="0" t="s">
        <v>105</v>
      </c>
      <c r="P160" s="0" t="s">
        <v>78</v>
      </c>
      <c r="Q160" s="16" t="n">
        <f aca="false">SUMIFS('Hourly Usage'!G$4:G$63,'Hourly Usage'!$A$4:$A$63,"Year 3",'Hourly Usage'!$B$4:$B$63,$N160,'Hourly Usage'!$C$4:$C$63,$O160)</f>
        <v>0</v>
      </c>
      <c r="R160" s="16" t="n">
        <f aca="false">$B$5*SUMIFS('Hourly Usage'!G$4:G$63,'Hourly Usage'!$A$4:$A$63,"Year 1",'Hourly Usage'!$B$4:$B$63,$N160,'Hourly Usage'!$C$4:$C$63,$O160)+$B$6*SUMIFS('Hourly Usage'!G$4:G$63,'Hourly Usage'!$A$4:$A$63,"Year 2",'Hourly Usage'!$B$4:$B$63,$N160,'Hourly Usage'!$C$4:$C$63,$O160)</f>
        <v>0.4</v>
      </c>
      <c r="S160" s="16" t="n">
        <f aca="false">SUMIFS('Hourly Usage'!G$4:G$63,'Hourly Usage'!$A$4:$A$63,"Year 2",'Hourly Usage'!$B$4:$B$63,$N160,'Hourly Usage'!$C$4:$C$63,$O160)</f>
        <v>0</v>
      </c>
      <c r="T160" s="16" t="n">
        <f aca="false">ABS(Q160-R160)</f>
        <v>0.4</v>
      </c>
      <c r="U160" s="16" t="n">
        <f aca="false">ABS(Q160-S160)</f>
        <v>0</v>
      </c>
      <c r="V160" s="15" t="n">
        <f aca="false">IF(R160&gt;=$B$7-0.000001,1,0)</f>
        <v>0</v>
      </c>
      <c r="W160" s="15" t="n">
        <f aca="false">IF(Q160&gt;=$B$7-0.000001,1,0)</f>
        <v>0</v>
      </c>
      <c r="X160" s="15" t="n">
        <f aca="false">IF(V160=W160,1,0)</f>
        <v>1</v>
      </c>
      <c r="Y160" s="15" t="n">
        <f aca="false">IF(IF(S160&gt;=$B$7-0.000001,1,0)=W160,1,0)</f>
        <v>1</v>
      </c>
    </row>
    <row r="161" customFormat="false" ht="15" hidden="false" customHeight="false" outlineLevel="0" collapsed="false">
      <c r="N161" s="0" t="s">
        <v>45</v>
      </c>
      <c r="O161" s="0" t="s">
        <v>105</v>
      </c>
      <c r="P161" s="0" t="s">
        <v>79</v>
      </c>
      <c r="Q161" s="16" t="n">
        <f aca="false">SUMIFS('Hourly Usage'!H$4:H$63,'Hourly Usage'!$A$4:$A$63,"Year 3",'Hourly Usage'!$B$4:$B$63,$N161,'Hourly Usage'!$C$4:$C$63,$O161)</f>
        <v>0</v>
      </c>
      <c r="R161" s="16" t="n">
        <f aca="false">$B$5*SUMIFS('Hourly Usage'!H$4:H$63,'Hourly Usage'!$A$4:$A$63,"Year 1",'Hourly Usage'!$B$4:$B$63,$N161,'Hourly Usage'!$C$4:$C$63,$O161)+$B$6*SUMIFS('Hourly Usage'!H$4:H$63,'Hourly Usage'!$A$4:$A$63,"Year 2",'Hourly Usage'!$B$4:$B$63,$N161,'Hourly Usage'!$C$4:$C$63,$O161)</f>
        <v>0.4</v>
      </c>
      <c r="S161" s="16" t="n">
        <f aca="false">SUMIFS('Hourly Usage'!H$4:H$63,'Hourly Usage'!$A$4:$A$63,"Year 2",'Hourly Usage'!$B$4:$B$63,$N161,'Hourly Usage'!$C$4:$C$63,$O161)</f>
        <v>0</v>
      </c>
      <c r="T161" s="16" t="n">
        <f aca="false">ABS(Q161-R161)</f>
        <v>0.4</v>
      </c>
      <c r="U161" s="16" t="n">
        <f aca="false">ABS(Q161-S161)</f>
        <v>0</v>
      </c>
      <c r="V161" s="15" t="n">
        <f aca="false">IF(R161&gt;=$B$7-0.000001,1,0)</f>
        <v>0</v>
      </c>
      <c r="W161" s="15" t="n">
        <f aca="false">IF(Q161&gt;=$B$7-0.000001,1,0)</f>
        <v>0</v>
      </c>
      <c r="X161" s="15" t="n">
        <f aca="false">IF(V161=W161,1,0)</f>
        <v>1</v>
      </c>
      <c r="Y161" s="15" t="n">
        <f aca="false">IF(IF(S161&gt;=$B$7-0.000001,1,0)=W161,1,0)</f>
        <v>1</v>
      </c>
    </row>
    <row r="162" customFormat="false" ht="15" hidden="false" customHeight="false" outlineLevel="0" collapsed="false">
      <c r="N162" s="0" t="s">
        <v>45</v>
      </c>
      <c r="O162" s="0" t="s">
        <v>105</v>
      </c>
      <c r="P162" s="0" t="s">
        <v>81</v>
      </c>
      <c r="Q162" s="16" t="n">
        <f aca="false">SUMIFS('Hourly Usage'!I$4:I$63,'Hourly Usage'!$A$4:$A$63,"Year 3",'Hourly Usage'!$B$4:$B$63,$N162,'Hourly Usage'!$C$4:$C$63,$O162)</f>
        <v>0</v>
      </c>
      <c r="R162" s="16" t="n">
        <f aca="false">$B$5*SUMIFS('Hourly Usage'!I$4:I$63,'Hourly Usage'!$A$4:$A$63,"Year 1",'Hourly Usage'!$B$4:$B$63,$N162,'Hourly Usage'!$C$4:$C$63,$O162)+$B$6*SUMIFS('Hourly Usage'!I$4:I$63,'Hourly Usage'!$A$4:$A$63,"Year 2",'Hourly Usage'!$B$4:$B$63,$N162,'Hourly Usage'!$C$4:$C$63,$O162)</f>
        <v>0.4</v>
      </c>
      <c r="S162" s="16" t="n">
        <f aca="false">SUMIFS('Hourly Usage'!I$4:I$63,'Hourly Usage'!$A$4:$A$63,"Year 2",'Hourly Usage'!$B$4:$B$63,$N162,'Hourly Usage'!$C$4:$C$63,$O162)</f>
        <v>0</v>
      </c>
      <c r="T162" s="16" t="n">
        <f aca="false">ABS(Q162-R162)</f>
        <v>0.4</v>
      </c>
      <c r="U162" s="16" t="n">
        <f aca="false">ABS(Q162-S162)</f>
        <v>0</v>
      </c>
      <c r="V162" s="15" t="n">
        <f aca="false">IF(R162&gt;=$B$7-0.000001,1,0)</f>
        <v>0</v>
      </c>
      <c r="W162" s="15" t="n">
        <f aca="false">IF(Q162&gt;=$B$7-0.000001,1,0)</f>
        <v>0</v>
      </c>
      <c r="X162" s="15" t="n">
        <f aca="false">IF(V162=W162,1,0)</f>
        <v>1</v>
      </c>
      <c r="Y162" s="15" t="n">
        <f aca="false">IF(IF(S162&gt;=$B$7-0.000001,1,0)=W162,1,0)</f>
        <v>1</v>
      </c>
    </row>
    <row r="163" customFormat="false" ht="15" hidden="false" customHeight="false" outlineLevel="0" collapsed="false">
      <c r="N163" s="0" t="s">
        <v>45</v>
      </c>
      <c r="O163" s="0" t="s">
        <v>105</v>
      </c>
      <c r="P163" s="0" t="s">
        <v>85</v>
      </c>
      <c r="Q163" s="16" t="n">
        <f aca="false">SUMIFS('Hourly Usage'!J$4:J$63,'Hourly Usage'!$A$4:$A$63,"Year 3",'Hourly Usage'!$B$4:$B$63,$N163,'Hourly Usage'!$C$4:$C$63,$O163)</f>
        <v>0</v>
      </c>
      <c r="R163" s="16" t="n">
        <f aca="false">$B$5*SUMIFS('Hourly Usage'!J$4:J$63,'Hourly Usage'!$A$4:$A$63,"Year 1",'Hourly Usage'!$B$4:$B$63,$N163,'Hourly Usage'!$C$4:$C$63,$O163)+$B$6*SUMIFS('Hourly Usage'!J$4:J$63,'Hourly Usage'!$A$4:$A$63,"Year 2",'Hourly Usage'!$B$4:$B$63,$N163,'Hourly Usage'!$C$4:$C$63,$O163)</f>
        <v>0</v>
      </c>
      <c r="S163" s="16" t="n">
        <f aca="false">SUMIFS('Hourly Usage'!J$4:J$63,'Hourly Usage'!$A$4:$A$63,"Year 2",'Hourly Usage'!$B$4:$B$63,$N163,'Hourly Usage'!$C$4:$C$63,$O163)</f>
        <v>0</v>
      </c>
      <c r="T163" s="16" t="n">
        <f aca="false">ABS(Q163-R163)</f>
        <v>0</v>
      </c>
      <c r="U163" s="16" t="n">
        <f aca="false">ABS(Q163-S163)</f>
        <v>0</v>
      </c>
      <c r="V163" s="15" t="n">
        <f aca="false">IF(R163&gt;=$B$7-0.000001,1,0)</f>
        <v>0</v>
      </c>
      <c r="W163" s="15" t="n">
        <f aca="false">IF(Q163&gt;=$B$7-0.000001,1,0)</f>
        <v>0</v>
      </c>
      <c r="X163" s="15" t="n">
        <f aca="false">IF(V163=W163,1,0)</f>
        <v>1</v>
      </c>
      <c r="Y163" s="15" t="n">
        <f aca="false">IF(IF(S163&gt;=$B$7-0.000001,1,0)=W163,1,0)</f>
        <v>1</v>
      </c>
    </row>
    <row r="164" customFormat="false" ht="15" hidden="false" customHeight="false" outlineLevel="0" collapsed="false">
      <c r="N164" s="0" t="s">
        <v>45</v>
      </c>
      <c r="O164" s="0" t="s">
        <v>105</v>
      </c>
      <c r="P164" s="0" t="s">
        <v>88</v>
      </c>
      <c r="Q164" s="16" t="n">
        <f aca="false">SUMIFS('Hourly Usage'!K$4:K$63,'Hourly Usage'!$A$4:$A$63,"Year 3",'Hourly Usage'!$B$4:$B$63,$N164,'Hourly Usage'!$C$4:$C$63,$O164)</f>
        <v>0.499999999999996</v>
      </c>
      <c r="R164" s="16" t="n">
        <f aca="false">$B$5*SUMIFS('Hourly Usage'!K$4:K$63,'Hourly Usage'!$A$4:$A$63,"Year 1",'Hourly Usage'!$B$4:$B$63,$N164,'Hourly Usage'!$C$4:$C$63,$O164)+$B$6*SUMIFS('Hourly Usage'!K$4:K$63,'Hourly Usage'!$A$4:$A$63,"Year 2",'Hourly Usage'!$B$4:$B$63,$N164,'Hourly Usage'!$C$4:$C$63,$O164)</f>
        <v>0.299999999999997</v>
      </c>
      <c r="S164" s="16" t="n">
        <f aca="false">SUMIFS('Hourly Usage'!K$4:K$63,'Hourly Usage'!$A$4:$A$63,"Year 2",'Hourly Usage'!$B$4:$B$63,$N164,'Hourly Usage'!$C$4:$C$63,$O164)</f>
        <v>0.499999999999996</v>
      </c>
      <c r="T164" s="16" t="n">
        <f aca="false">ABS(Q164-R164)</f>
        <v>0.199999999999998</v>
      </c>
      <c r="U164" s="16" t="n">
        <f aca="false">ABS(Q164-S164)</f>
        <v>0</v>
      </c>
      <c r="V164" s="15" t="n">
        <f aca="false">IF(R164&gt;=$B$7-0.000001,1,0)</f>
        <v>0</v>
      </c>
      <c r="W164" s="15" t="n">
        <f aca="false">IF(Q164&gt;=$B$7-0.000001,1,0)</f>
        <v>1</v>
      </c>
      <c r="X164" s="15" t="n">
        <f aca="false">IF(V164=W164,1,0)</f>
        <v>0</v>
      </c>
      <c r="Y164" s="15" t="n">
        <f aca="false">IF(IF(S164&gt;=$B$7-0.000001,1,0)=W164,1,0)</f>
        <v>1</v>
      </c>
    </row>
    <row r="165" customFormat="false" ht="15" hidden="false" customHeight="false" outlineLevel="0" collapsed="false">
      <c r="N165" s="0" t="s">
        <v>45</v>
      </c>
      <c r="O165" s="0" t="s">
        <v>105</v>
      </c>
      <c r="P165" s="0" t="s">
        <v>91</v>
      </c>
      <c r="Q165" s="16" t="n">
        <f aca="false">SUMIFS('Hourly Usage'!L$4:L$63,'Hourly Usage'!$A$4:$A$63,"Year 3",'Hourly Usage'!$B$4:$B$63,$N165,'Hourly Usage'!$C$4:$C$63,$O165)</f>
        <v>1</v>
      </c>
      <c r="R165" s="16" t="n">
        <f aca="false">$B$5*SUMIFS('Hourly Usage'!L$4:L$63,'Hourly Usage'!$A$4:$A$63,"Year 1",'Hourly Usage'!$B$4:$B$63,$N165,'Hourly Usage'!$C$4:$C$63,$O165)+$B$6*SUMIFS('Hourly Usage'!L$4:L$63,'Hourly Usage'!$A$4:$A$63,"Year 2",'Hourly Usage'!$B$4:$B$63,$N165,'Hourly Usage'!$C$4:$C$63,$O165)</f>
        <v>0.6</v>
      </c>
      <c r="S165" s="16" t="n">
        <f aca="false">SUMIFS('Hourly Usage'!L$4:L$63,'Hourly Usage'!$A$4:$A$63,"Year 2",'Hourly Usage'!$B$4:$B$63,$N165,'Hourly Usage'!$C$4:$C$63,$O165)</f>
        <v>1</v>
      </c>
      <c r="T165" s="16" t="n">
        <f aca="false">ABS(Q165-R165)</f>
        <v>0.4</v>
      </c>
      <c r="U165" s="16" t="n">
        <f aca="false">ABS(Q165-S165)</f>
        <v>0</v>
      </c>
      <c r="V165" s="15" t="n">
        <f aca="false">IF(R165&gt;=$B$7-0.000001,1,0)</f>
        <v>1</v>
      </c>
      <c r="W165" s="15" t="n">
        <f aca="false">IF(Q165&gt;=$B$7-0.000001,1,0)</f>
        <v>1</v>
      </c>
      <c r="X165" s="15" t="n">
        <f aca="false">IF(V165=W165,1,0)</f>
        <v>1</v>
      </c>
      <c r="Y165" s="15" t="n">
        <f aca="false">IF(IF(S165&gt;=$B$7-0.000001,1,0)=W165,1,0)</f>
        <v>1</v>
      </c>
    </row>
    <row r="166" customFormat="false" ht="15" hidden="false" customHeight="false" outlineLevel="0" collapsed="false">
      <c r="N166" s="0" t="s">
        <v>45</v>
      </c>
      <c r="O166" s="0" t="s">
        <v>117</v>
      </c>
      <c r="P166" s="0" t="s">
        <v>71</v>
      </c>
      <c r="Q166" s="16" t="n">
        <f aca="false">SUMIFS('Hourly Usage'!D$4:D$63,'Hourly Usage'!$A$4:$A$63,"Year 3",'Hourly Usage'!$B$4:$B$63,$N166,'Hourly Usage'!$C$4:$C$63,$O166)</f>
        <v>0</v>
      </c>
      <c r="R166" s="16" t="n">
        <f aca="false">$B$5*SUMIFS('Hourly Usage'!D$4:D$63,'Hourly Usage'!$A$4:$A$63,"Year 1",'Hourly Usage'!$B$4:$B$63,$N166,'Hourly Usage'!$C$4:$C$63,$O166)+$B$6*SUMIFS('Hourly Usage'!D$4:D$63,'Hourly Usage'!$A$4:$A$63,"Year 2",'Hourly Usage'!$B$4:$B$63,$N166,'Hourly Usage'!$C$4:$C$63,$O166)</f>
        <v>0</v>
      </c>
      <c r="S166" s="16" t="n">
        <f aca="false">SUMIFS('Hourly Usage'!D$4:D$63,'Hourly Usage'!$A$4:$A$63,"Year 2",'Hourly Usage'!$B$4:$B$63,$N166,'Hourly Usage'!$C$4:$C$63,$O166)</f>
        <v>0</v>
      </c>
      <c r="T166" s="16" t="n">
        <f aca="false">ABS(Q166-R166)</f>
        <v>0</v>
      </c>
      <c r="U166" s="16" t="n">
        <f aca="false">ABS(Q166-S166)</f>
        <v>0</v>
      </c>
      <c r="V166" s="15" t="n">
        <f aca="false">IF(R166&gt;=$B$7-0.000001,1,0)</f>
        <v>0</v>
      </c>
      <c r="W166" s="15" t="n">
        <f aca="false">IF(Q166&gt;=$B$7-0.000001,1,0)</f>
        <v>0</v>
      </c>
      <c r="X166" s="15" t="n">
        <f aca="false">IF(V166=W166,1,0)</f>
        <v>1</v>
      </c>
      <c r="Y166" s="15" t="n">
        <f aca="false">IF(IF(S166&gt;=$B$7-0.000001,1,0)=W166,1,0)</f>
        <v>1</v>
      </c>
    </row>
    <row r="167" customFormat="false" ht="15" hidden="false" customHeight="false" outlineLevel="0" collapsed="false">
      <c r="N167" s="0" t="s">
        <v>45</v>
      </c>
      <c r="O167" s="0" t="s">
        <v>117</v>
      </c>
      <c r="P167" s="0" t="s">
        <v>74</v>
      </c>
      <c r="Q167" s="16" t="n">
        <f aca="false">SUMIFS('Hourly Usage'!E$4:E$63,'Hourly Usage'!$A$4:$A$63,"Year 3",'Hourly Usage'!$B$4:$B$63,$N167,'Hourly Usage'!$C$4:$C$63,$O167)</f>
        <v>0</v>
      </c>
      <c r="R167" s="16" t="n">
        <f aca="false">$B$5*SUMIFS('Hourly Usage'!E$4:E$63,'Hourly Usage'!$A$4:$A$63,"Year 1",'Hourly Usage'!$B$4:$B$63,$N167,'Hourly Usage'!$C$4:$C$63,$O167)+$B$6*SUMIFS('Hourly Usage'!E$4:E$63,'Hourly Usage'!$A$4:$A$63,"Year 2",'Hourly Usage'!$B$4:$B$63,$N167,'Hourly Usage'!$C$4:$C$63,$O167)</f>
        <v>0</v>
      </c>
      <c r="S167" s="16" t="n">
        <f aca="false">SUMIFS('Hourly Usage'!E$4:E$63,'Hourly Usage'!$A$4:$A$63,"Year 2",'Hourly Usage'!$B$4:$B$63,$N167,'Hourly Usage'!$C$4:$C$63,$O167)</f>
        <v>0</v>
      </c>
      <c r="T167" s="16" t="n">
        <f aca="false">ABS(Q167-R167)</f>
        <v>0</v>
      </c>
      <c r="U167" s="16" t="n">
        <f aca="false">ABS(Q167-S167)</f>
        <v>0</v>
      </c>
      <c r="V167" s="15" t="n">
        <f aca="false">IF(R167&gt;=$B$7-0.000001,1,0)</f>
        <v>0</v>
      </c>
      <c r="W167" s="15" t="n">
        <f aca="false">IF(Q167&gt;=$B$7-0.000001,1,0)</f>
        <v>0</v>
      </c>
      <c r="X167" s="15" t="n">
        <f aca="false">IF(V167=W167,1,0)</f>
        <v>1</v>
      </c>
      <c r="Y167" s="15" t="n">
        <f aca="false">IF(IF(S167&gt;=$B$7-0.000001,1,0)=W167,1,0)</f>
        <v>1</v>
      </c>
    </row>
    <row r="168" customFormat="false" ht="15" hidden="false" customHeight="false" outlineLevel="0" collapsed="false">
      <c r="N168" s="0" t="s">
        <v>45</v>
      </c>
      <c r="O168" s="0" t="s">
        <v>117</v>
      </c>
      <c r="P168" s="0" t="s">
        <v>76</v>
      </c>
      <c r="Q168" s="16" t="n">
        <f aca="false">SUMIFS('Hourly Usage'!F$4:F$63,'Hourly Usage'!$A$4:$A$63,"Year 3",'Hourly Usage'!$B$4:$B$63,$N168,'Hourly Usage'!$C$4:$C$63,$O168)</f>
        <v>0</v>
      </c>
      <c r="R168" s="16" t="n">
        <f aca="false">$B$5*SUMIFS('Hourly Usage'!F$4:F$63,'Hourly Usage'!$A$4:$A$63,"Year 1",'Hourly Usage'!$B$4:$B$63,$N168,'Hourly Usage'!$C$4:$C$63,$O168)+$B$6*SUMIFS('Hourly Usage'!F$4:F$63,'Hourly Usage'!$A$4:$A$63,"Year 2",'Hourly Usage'!$B$4:$B$63,$N168,'Hourly Usage'!$C$4:$C$63,$O168)</f>
        <v>0</v>
      </c>
      <c r="S168" s="16" t="n">
        <f aca="false">SUMIFS('Hourly Usage'!F$4:F$63,'Hourly Usage'!$A$4:$A$63,"Year 2",'Hourly Usage'!$B$4:$B$63,$N168,'Hourly Usage'!$C$4:$C$63,$O168)</f>
        <v>0</v>
      </c>
      <c r="T168" s="16" t="n">
        <f aca="false">ABS(Q168-R168)</f>
        <v>0</v>
      </c>
      <c r="U168" s="16" t="n">
        <f aca="false">ABS(Q168-S168)</f>
        <v>0</v>
      </c>
      <c r="V168" s="15" t="n">
        <f aca="false">IF(R168&gt;=$B$7-0.000001,1,0)</f>
        <v>0</v>
      </c>
      <c r="W168" s="15" t="n">
        <f aca="false">IF(Q168&gt;=$B$7-0.000001,1,0)</f>
        <v>0</v>
      </c>
      <c r="X168" s="15" t="n">
        <f aca="false">IF(V168=W168,1,0)</f>
        <v>1</v>
      </c>
      <c r="Y168" s="15" t="n">
        <f aca="false">IF(IF(S168&gt;=$B$7-0.000001,1,0)=W168,1,0)</f>
        <v>1</v>
      </c>
    </row>
    <row r="169" customFormat="false" ht="15" hidden="false" customHeight="false" outlineLevel="0" collapsed="false">
      <c r="N169" s="0" t="s">
        <v>45</v>
      </c>
      <c r="O169" s="0" t="s">
        <v>117</v>
      </c>
      <c r="P169" s="0" t="s">
        <v>78</v>
      </c>
      <c r="Q169" s="16" t="n">
        <f aca="false">SUMIFS('Hourly Usage'!G$4:G$63,'Hourly Usage'!$A$4:$A$63,"Year 3",'Hourly Usage'!$B$4:$B$63,$N169,'Hourly Usage'!$C$4:$C$63,$O169)</f>
        <v>0</v>
      </c>
      <c r="R169" s="16" t="n">
        <f aca="false">$B$5*SUMIFS('Hourly Usage'!G$4:G$63,'Hourly Usage'!$A$4:$A$63,"Year 1",'Hourly Usage'!$B$4:$B$63,$N169,'Hourly Usage'!$C$4:$C$63,$O169)+$B$6*SUMIFS('Hourly Usage'!G$4:G$63,'Hourly Usage'!$A$4:$A$63,"Year 2",'Hourly Usage'!$B$4:$B$63,$N169,'Hourly Usage'!$C$4:$C$63,$O169)</f>
        <v>0</v>
      </c>
      <c r="S169" s="16" t="n">
        <f aca="false">SUMIFS('Hourly Usage'!G$4:G$63,'Hourly Usage'!$A$4:$A$63,"Year 2",'Hourly Usage'!$B$4:$B$63,$N169,'Hourly Usage'!$C$4:$C$63,$O169)</f>
        <v>0</v>
      </c>
      <c r="T169" s="16" t="n">
        <f aca="false">ABS(Q169-R169)</f>
        <v>0</v>
      </c>
      <c r="U169" s="16" t="n">
        <f aca="false">ABS(Q169-S169)</f>
        <v>0</v>
      </c>
      <c r="V169" s="15" t="n">
        <f aca="false">IF(R169&gt;=$B$7-0.000001,1,0)</f>
        <v>0</v>
      </c>
      <c r="W169" s="15" t="n">
        <f aca="false">IF(Q169&gt;=$B$7-0.000001,1,0)</f>
        <v>0</v>
      </c>
      <c r="X169" s="15" t="n">
        <f aca="false">IF(V169=W169,1,0)</f>
        <v>1</v>
      </c>
      <c r="Y169" s="15" t="n">
        <f aca="false">IF(IF(S169&gt;=$B$7-0.000001,1,0)=W169,1,0)</f>
        <v>1</v>
      </c>
    </row>
    <row r="170" customFormat="false" ht="15" hidden="false" customHeight="false" outlineLevel="0" collapsed="false">
      <c r="N170" s="0" t="s">
        <v>45</v>
      </c>
      <c r="O170" s="0" t="s">
        <v>117</v>
      </c>
      <c r="P170" s="0" t="s">
        <v>79</v>
      </c>
      <c r="Q170" s="16" t="n">
        <f aca="false">SUMIFS('Hourly Usage'!H$4:H$63,'Hourly Usage'!$A$4:$A$63,"Year 3",'Hourly Usage'!$B$4:$B$63,$N170,'Hourly Usage'!$C$4:$C$63,$O170)</f>
        <v>0</v>
      </c>
      <c r="R170" s="16" t="n">
        <f aca="false">$B$5*SUMIFS('Hourly Usage'!H$4:H$63,'Hourly Usage'!$A$4:$A$63,"Year 1",'Hourly Usage'!$B$4:$B$63,$N170,'Hourly Usage'!$C$4:$C$63,$O170)+$B$6*SUMIFS('Hourly Usage'!H$4:H$63,'Hourly Usage'!$A$4:$A$63,"Year 2",'Hourly Usage'!$B$4:$B$63,$N170,'Hourly Usage'!$C$4:$C$63,$O170)</f>
        <v>0.999999999999996</v>
      </c>
      <c r="S170" s="16" t="n">
        <f aca="false">SUMIFS('Hourly Usage'!H$4:H$63,'Hourly Usage'!$A$4:$A$63,"Year 2",'Hourly Usage'!$B$4:$B$63,$N170,'Hourly Usage'!$C$4:$C$63,$O170)</f>
        <v>0.999999999999996</v>
      </c>
      <c r="T170" s="16" t="n">
        <f aca="false">ABS(Q170-R170)</f>
        <v>0.999999999999996</v>
      </c>
      <c r="U170" s="16" t="n">
        <f aca="false">ABS(Q170-S170)</f>
        <v>0.999999999999996</v>
      </c>
      <c r="V170" s="15" t="n">
        <f aca="false">IF(R170&gt;=$B$7-0.000001,1,0)</f>
        <v>1</v>
      </c>
      <c r="W170" s="15" t="n">
        <f aca="false">IF(Q170&gt;=$B$7-0.000001,1,0)</f>
        <v>0</v>
      </c>
      <c r="X170" s="15" t="n">
        <f aca="false">IF(V170=W170,1,0)</f>
        <v>0</v>
      </c>
      <c r="Y170" s="15" t="n">
        <f aca="false">IF(IF(S170&gt;=$B$7-0.000001,1,0)=W170,1,0)</f>
        <v>0</v>
      </c>
    </row>
    <row r="171" customFormat="false" ht="15" hidden="false" customHeight="false" outlineLevel="0" collapsed="false">
      <c r="N171" s="0" t="s">
        <v>45</v>
      </c>
      <c r="O171" s="0" t="s">
        <v>117</v>
      </c>
      <c r="P171" s="0" t="s">
        <v>81</v>
      </c>
      <c r="Q171" s="16" t="n">
        <f aca="false">SUMIFS('Hourly Usage'!I$4:I$63,'Hourly Usage'!$A$4:$A$63,"Year 3",'Hourly Usage'!$B$4:$B$63,$N171,'Hourly Usage'!$C$4:$C$63,$O171)</f>
        <v>0</v>
      </c>
      <c r="R171" s="16" t="n">
        <f aca="false">$B$5*SUMIFS('Hourly Usage'!I$4:I$63,'Hourly Usage'!$A$4:$A$63,"Year 1",'Hourly Usage'!$B$4:$B$63,$N171,'Hourly Usage'!$C$4:$C$63,$O171)+$B$6*SUMIFS('Hourly Usage'!I$4:I$63,'Hourly Usage'!$A$4:$A$63,"Year 2",'Hourly Usage'!$B$4:$B$63,$N171,'Hourly Usage'!$C$4:$C$63,$O171)</f>
        <v>0.500000000000004</v>
      </c>
      <c r="S171" s="16" t="n">
        <f aca="false">SUMIFS('Hourly Usage'!I$4:I$63,'Hourly Usage'!$A$4:$A$63,"Year 2",'Hourly Usage'!$B$4:$B$63,$N171,'Hourly Usage'!$C$4:$C$63,$O171)</f>
        <v>0.500000000000004</v>
      </c>
      <c r="T171" s="16" t="n">
        <f aca="false">ABS(Q171-R171)</f>
        <v>0.500000000000004</v>
      </c>
      <c r="U171" s="16" t="n">
        <f aca="false">ABS(Q171-S171)</f>
        <v>0.500000000000004</v>
      </c>
      <c r="V171" s="15" t="n">
        <f aca="false">IF(R171&gt;=$B$7-0.000001,1,0)</f>
        <v>1</v>
      </c>
      <c r="W171" s="15" t="n">
        <f aca="false">IF(Q171&gt;=$B$7-0.000001,1,0)</f>
        <v>0</v>
      </c>
      <c r="X171" s="15" t="n">
        <f aca="false">IF(V171=W171,1,0)</f>
        <v>0</v>
      </c>
      <c r="Y171" s="15" t="n">
        <f aca="false">IF(IF(S171&gt;=$B$7-0.000001,1,0)=W171,1,0)</f>
        <v>0</v>
      </c>
    </row>
    <row r="172" customFormat="false" ht="15" hidden="false" customHeight="false" outlineLevel="0" collapsed="false">
      <c r="N172" s="0" t="s">
        <v>45</v>
      </c>
      <c r="O172" s="0" t="s">
        <v>117</v>
      </c>
      <c r="P172" s="0" t="s">
        <v>85</v>
      </c>
      <c r="Q172" s="16" t="n">
        <f aca="false">SUMIFS('Hourly Usage'!J$4:J$63,'Hourly Usage'!$A$4:$A$63,"Year 3",'Hourly Usage'!$B$4:$B$63,$N172,'Hourly Usage'!$C$4:$C$63,$O172)</f>
        <v>0</v>
      </c>
      <c r="R172" s="16" t="n">
        <f aca="false">$B$5*SUMIFS('Hourly Usage'!J$4:J$63,'Hourly Usage'!$A$4:$A$63,"Year 1",'Hourly Usage'!$B$4:$B$63,$N172,'Hourly Usage'!$C$4:$C$63,$O172)+$B$6*SUMIFS('Hourly Usage'!J$4:J$63,'Hourly Usage'!$A$4:$A$63,"Year 2",'Hourly Usage'!$B$4:$B$63,$N172,'Hourly Usage'!$C$4:$C$63,$O172)</f>
        <v>0.599999999999999</v>
      </c>
      <c r="S172" s="16" t="n">
        <f aca="false">SUMIFS('Hourly Usage'!J$4:J$63,'Hourly Usage'!$A$4:$A$63,"Year 2",'Hourly Usage'!$B$4:$B$63,$N172,'Hourly Usage'!$C$4:$C$63,$O172)</f>
        <v>0.999999999999999</v>
      </c>
      <c r="T172" s="16" t="n">
        <f aca="false">ABS(Q172-R172)</f>
        <v>0.599999999999999</v>
      </c>
      <c r="U172" s="16" t="n">
        <f aca="false">ABS(Q172-S172)</f>
        <v>0.999999999999999</v>
      </c>
      <c r="V172" s="15" t="n">
        <f aca="false">IF(R172&gt;=$B$7-0.000001,1,0)</f>
        <v>1</v>
      </c>
      <c r="W172" s="15" t="n">
        <f aca="false">IF(Q172&gt;=$B$7-0.000001,1,0)</f>
        <v>0</v>
      </c>
      <c r="X172" s="15" t="n">
        <f aca="false">IF(V172=W172,1,0)</f>
        <v>0</v>
      </c>
      <c r="Y172" s="15" t="n">
        <f aca="false">IF(IF(S172&gt;=$B$7-0.000001,1,0)=W172,1,0)</f>
        <v>0</v>
      </c>
    </row>
    <row r="173" customFormat="false" ht="15" hidden="false" customHeight="false" outlineLevel="0" collapsed="false">
      <c r="N173" s="0" t="s">
        <v>45</v>
      </c>
      <c r="O173" s="0" t="s">
        <v>117</v>
      </c>
      <c r="P173" s="0" t="s">
        <v>88</v>
      </c>
      <c r="Q173" s="16" t="n">
        <f aca="false">SUMIFS('Hourly Usage'!K$4:K$63,'Hourly Usage'!$A$4:$A$63,"Year 3",'Hourly Usage'!$B$4:$B$63,$N173,'Hourly Usage'!$C$4:$C$63,$O173)</f>
        <v>0</v>
      </c>
      <c r="R173" s="16" t="n">
        <f aca="false">$B$5*SUMIFS('Hourly Usage'!K$4:K$63,'Hourly Usage'!$A$4:$A$63,"Year 1",'Hourly Usage'!$B$4:$B$63,$N173,'Hourly Usage'!$C$4:$C$63,$O173)+$B$6*SUMIFS('Hourly Usage'!K$4:K$63,'Hourly Usage'!$A$4:$A$63,"Year 2",'Hourly Usage'!$B$4:$B$63,$N173,'Hourly Usage'!$C$4:$C$63,$O173)</f>
        <v>0.300000000000001</v>
      </c>
      <c r="S173" s="16" t="n">
        <f aca="false">SUMIFS('Hourly Usage'!K$4:K$63,'Hourly Usage'!$A$4:$A$63,"Year 2",'Hourly Usage'!$B$4:$B$63,$N173,'Hourly Usage'!$C$4:$C$63,$O173)</f>
        <v>0.500000000000001</v>
      </c>
      <c r="T173" s="16" t="n">
        <f aca="false">ABS(Q173-R173)</f>
        <v>0.300000000000001</v>
      </c>
      <c r="U173" s="16" t="n">
        <f aca="false">ABS(Q173-S173)</f>
        <v>0.500000000000001</v>
      </c>
      <c r="V173" s="15" t="n">
        <f aca="false">IF(R173&gt;=$B$7-0.000001,1,0)</f>
        <v>0</v>
      </c>
      <c r="W173" s="15" t="n">
        <f aca="false">IF(Q173&gt;=$B$7-0.000001,1,0)</f>
        <v>0</v>
      </c>
      <c r="X173" s="15" t="n">
        <f aca="false">IF(V173=W173,1,0)</f>
        <v>1</v>
      </c>
      <c r="Y173" s="15" t="n">
        <f aca="false">IF(IF(S173&gt;=$B$7-0.000001,1,0)=W173,1,0)</f>
        <v>0</v>
      </c>
    </row>
    <row r="174" customFormat="false" ht="15" hidden="false" customHeight="false" outlineLevel="0" collapsed="false">
      <c r="N174" s="0" t="s">
        <v>45</v>
      </c>
      <c r="O174" s="0" t="s">
        <v>117</v>
      </c>
      <c r="P174" s="0" t="s">
        <v>91</v>
      </c>
      <c r="Q174" s="16" t="n">
        <f aca="false">SUMIFS('Hourly Usage'!L$4:L$63,'Hourly Usage'!$A$4:$A$63,"Year 3",'Hourly Usage'!$B$4:$B$63,$N174,'Hourly Usage'!$C$4:$C$63,$O174)</f>
        <v>0</v>
      </c>
      <c r="R174" s="16" t="n">
        <f aca="false">$B$5*SUMIFS('Hourly Usage'!L$4:L$63,'Hourly Usage'!$A$4:$A$63,"Year 1",'Hourly Usage'!$B$4:$B$63,$N174,'Hourly Usage'!$C$4:$C$63,$O174)+$B$6*SUMIFS('Hourly Usage'!L$4:L$63,'Hourly Usage'!$A$4:$A$63,"Year 2",'Hourly Usage'!$B$4:$B$63,$N174,'Hourly Usage'!$C$4:$C$63,$O174)</f>
        <v>0.4</v>
      </c>
      <c r="S174" s="16" t="n">
        <f aca="false">SUMIFS('Hourly Usage'!L$4:L$63,'Hourly Usage'!$A$4:$A$63,"Year 2",'Hourly Usage'!$B$4:$B$63,$N174,'Hourly Usage'!$C$4:$C$63,$O174)</f>
        <v>0</v>
      </c>
      <c r="T174" s="16" t="n">
        <f aca="false">ABS(Q174-R174)</f>
        <v>0.4</v>
      </c>
      <c r="U174" s="16" t="n">
        <f aca="false">ABS(Q174-S174)</f>
        <v>0</v>
      </c>
      <c r="V174" s="15" t="n">
        <f aca="false">IF(R174&gt;=$B$7-0.000001,1,0)</f>
        <v>0</v>
      </c>
      <c r="W174" s="15" t="n">
        <f aca="false">IF(Q174&gt;=$B$7-0.000001,1,0)</f>
        <v>0</v>
      </c>
      <c r="X174" s="15" t="n">
        <f aca="false">IF(V174=W174,1,0)</f>
        <v>1</v>
      </c>
      <c r="Y174" s="15" t="n">
        <f aca="false">IF(IF(S174&gt;=$B$7-0.000001,1,0)=W174,1,0)</f>
        <v>1</v>
      </c>
    </row>
    <row r="175" customFormat="false" ht="15" hidden="false" customHeight="false" outlineLevel="0" collapsed="false">
      <c r="N175" s="0" t="s">
        <v>45</v>
      </c>
      <c r="O175" s="0" t="s">
        <v>118</v>
      </c>
      <c r="P175" s="0" t="s">
        <v>71</v>
      </c>
      <c r="Q175" s="16" t="n">
        <f aca="false">SUMIFS('Hourly Usage'!D$4:D$63,'Hourly Usage'!$A$4:$A$63,"Year 3",'Hourly Usage'!$B$4:$B$63,$N175,'Hourly Usage'!$C$4:$C$63,$O175)</f>
        <v>0</v>
      </c>
      <c r="R175" s="16" t="n">
        <f aca="false">$B$5*SUMIFS('Hourly Usage'!D$4:D$63,'Hourly Usage'!$A$4:$A$63,"Year 1",'Hourly Usage'!$B$4:$B$63,$N175,'Hourly Usage'!$C$4:$C$63,$O175)+$B$6*SUMIFS('Hourly Usage'!D$4:D$63,'Hourly Usage'!$A$4:$A$63,"Year 2",'Hourly Usage'!$B$4:$B$63,$N175,'Hourly Usage'!$C$4:$C$63,$O175)</f>
        <v>0</v>
      </c>
      <c r="S175" s="16" t="n">
        <f aca="false">SUMIFS('Hourly Usage'!D$4:D$63,'Hourly Usage'!$A$4:$A$63,"Year 2",'Hourly Usage'!$B$4:$B$63,$N175,'Hourly Usage'!$C$4:$C$63,$O175)</f>
        <v>0</v>
      </c>
      <c r="T175" s="16" t="n">
        <f aca="false">ABS(Q175-R175)</f>
        <v>0</v>
      </c>
      <c r="U175" s="16" t="n">
        <f aca="false">ABS(Q175-S175)</f>
        <v>0</v>
      </c>
      <c r="V175" s="15" t="n">
        <f aca="false">IF(R175&gt;=$B$7-0.000001,1,0)</f>
        <v>0</v>
      </c>
      <c r="W175" s="15" t="n">
        <f aca="false">IF(Q175&gt;=$B$7-0.000001,1,0)</f>
        <v>0</v>
      </c>
      <c r="X175" s="15" t="n">
        <f aca="false">IF(V175=W175,1,0)</f>
        <v>1</v>
      </c>
      <c r="Y175" s="15" t="n">
        <f aca="false">IF(IF(S175&gt;=$B$7-0.000001,1,0)=W175,1,0)</f>
        <v>1</v>
      </c>
    </row>
    <row r="176" customFormat="false" ht="15" hidden="false" customHeight="false" outlineLevel="0" collapsed="false">
      <c r="N176" s="0" t="s">
        <v>45</v>
      </c>
      <c r="O176" s="0" t="s">
        <v>118</v>
      </c>
      <c r="P176" s="0" t="s">
        <v>74</v>
      </c>
      <c r="Q176" s="16" t="n">
        <f aca="false">SUMIFS('Hourly Usage'!E$4:E$63,'Hourly Usage'!$A$4:$A$63,"Year 3",'Hourly Usage'!$B$4:$B$63,$N176,'Hourly Usage'!$C$4:$C$63,$O176)</f>
        <v>1</v>
      </c>
      <c r="R176" s="16" t="n">
        <f aca="false">$B$5*SUMIFS('Hourly Usage'!E$4:E$63,'Hourly Usage'!$A$4:$A$63,"Year 1",'Hourly Usage'!$B$4:$B$63,$N176,'Hourly Usage'!$C$4:$C$63,$O176)+$B$6*SUMIFS('Hourly Usage'!E$4:E$63,'Hourly Usage'!$A$4:$A$63,"Year 2",'Hourly Usage'!$B$4:$B$63,$N176,'Hourly Usage'!$C$4:$C$63,$O176)</f>
        <v>0.6</v>
      </c>
      <c r="S176" s="16" t="n">
        <f aca="false">SUMIFS('Hourly Usage'!E$4:E$63,'Hourly Usage'!$A$4:$A$63,"Year 2",'Hourly Usage'!$B$4:$B$63,$N176,'Hourly Usage'!$C$4:$C$63,$O176)</f>
        <v>1</v>
      </c>
      <c r="T176" s="16" t="n">
        <f aca="false">ABS(Q176-R176)</f>
        <v>0.4</v>
      </c>
      <c r="U176" s="16" t="n">
        <f aca="false">ABS(Q176-S176)</f>
        <v>0</v>
      </c>
      <c r="V176" s="15" t="n">
        <f aca="false">IF(R176&gt;=$B$7-0.000001,1,0)</f>
        <v>1</v>
      </c>
      <c r="W176" s="15" t="n">
        <f aca="false">IF(Q176&gt;=$B$7-0.000001,1,0)</f>
        <v>1</v>
      </c>
      <c r="X176" s="15" t="n">
        <f aca="false">IF(V176=W176,1,0)</f>
        <v>1</v>
      </c>
      <c r="Y176" s="15" t="n">
        <f aca="false">IF(IF(S176&gt;=$B$7-0.000001,1,0)=W176,1,0)</f>
        <v>1</v>
      </c>
    </row>
    <row r="177" customFormat="false" ht="15" hidden="false" customHeight="false" outlineLevel="0" collapsed="false">
      <c r="N177" s="0" t="s">
        <v>45</v>
      </c>
      <c r="O177" s="0" t="s">
        <v>118</v>
      </c>
      <c r="P177" s="0" t="s">
        <v>76</v>
      </c>
      <c r="Q177" s="16" t="n">
        <f aca="false">SUMIFS('Hourly Usage'!F$4:F$63,'Hourly Usage'!$A$4:$A$63,"Year 3",'Hourly Usage'!$B$4:$B$63,$N177,'Hourly Usage'!$C$4:$C$63,$O177)</f>
        <v>0.999999999999998</v>
      </c>
      <c r="R177" s="16" t="n">
        <f aca="false">$B$5*SUMIFS('Hourly Usage'!F$4:F$63,'Hourly Usage'!$A$4:$A$63,"Year 1",'Hourly Usage'!$B$4:$B$63,$N177,'Hourly Usage'!$C$4:$C$63,$O177)+$B$6*SUMIFS('Hourly Usage'!F$4:F$63,'Hourly Usage'!$A$4:$A$63,"Year 2",'Hourly Usage'!$B$4:$B$63,$N177,'Hourly Usage'!$C$4:$C$63,$O177)</f>
        <v>0.599999999999999</v>
      </c>
      <c r="S177" s="16" t="n">
        <f aca="false">SUMIFS('Hourly Usage'!F$4:F$63,'Hourly Usage'!$A$4:$A$63,"Year 2",'Hourly Usage'!$B$4:$B$63,$N177,'Hourly Usage'!$C$4:$C$63,$O177)</f>
        <v>0.999999999999998</v>
      </c>
      <c r="T177" s="16" t="n">
        <f aca="false">ABS(Q177-R177)</f>
        <v>0.399999999999999</v>
      </c>
      <c r="U177" s="16" t="n">
        <f aca="false">ABS(Q177-S177)</f>
        <v>0</v>
      </c>
      <c r="V177" s="15" t="n">
        <f aca="false">IF(R177&gt;=$B$7-0.000001,1,0)</f>
        <v>1</v>
      </c>
      <c r="W177" s="15" t="n">
        <f aca="false">IF(Q177&gt;=$B$7-0.000001,1,0)</f>
        <v>1</v>
      </c>
      <c r="X177" s="15" t="n">
        <f aca="false">IF(V177=W177,1,0)</f>
        <v>1</v>
      </c>
      <c r="Y177" s="15" t="n">
        <f aca="false">IF(IF(S177&gt;=$B$7-0.000001,1,0)=W177,1,0)</f>
        <v>1</v>
      </c>
    </row>
    <row r="178" customFormat="false" ht="15" hidden="false" customHeight="false" outlineLevel="0" collapsed="false">
      <c r="N178" s="0" t="s">
        <v>45</v>
      </c>
      <c r="O178" s="0" t="s">
        <v>118</v>
      </c>
      <c r="P178" s="0" t="s">
        <v>78</v>
      </c>
      <c r="Q178" s="16" t="n">
        <f aca="false">SUMIFS('Hourly Usage'!G$4:G$63,'Hourly Usage'!$A$4:$A$63,"Year 3",'Hourly Usage'!$B$4:$B$63,$N178,'Hourly Usage'!$C$4:$C$63,$O178)</f>
        <v>0.500000000000004</v>
      </c>
      <c r="R178" s="16" t="n">
        <f aca="false">$B$5*SUMIFS('Hourly Usage'!G$4:G$63,'Hourly Usage'!$A$4:$A$63,"Year 1",'Hourly Usage'!$B$4:$B$63,$N178,'Hourly Usage'!$C$4:$C$63,$O178)+$B$6*SUMIFS('Hourly Usage'!G$4:G$63,'Hourly Usage'!$A$4:$A$63,"Year 2",'Hourly Usage'!$B$4:$B$63,$N178,'Hourly Usage'!$C$4:$C$63,$O178)</f>
        <v>0.300000000000002</v>
      </c>
      <c r="S178" s="16" t="n">
        <f aca="false">SUMIFS('Hourly Usage'!G$4:G$63,'Hourly Usage'!$A$4:$A$63,"Year 2",'Hourly Usage'!$B$4:$B$63,$N178,'Hourly Usage'!$C$4:$C$63,$O178)</f>
        <v>0.500000000000004</v>
      </c>
      <c r="T178" s="16" t="n">
        <f aca="false">ABS(Q178-R178)</f>
        <v>0.200000000000001</v>
      </c>
      <c r="U178" s="16" t="n">
        <f aca="false">ABS(Q178-S178)</f>
        <v>0</v>
      </c>
      <c r="V178" s="15" t="n">
        <f aca="false">IF(R178&gt;=$B$7-0.000001,1,0)</f>
        <v>0</v>
      </c>
      <c r="W178" s="15" t="n">
        <f aca="false">IF(Q178&gt;=$B$7-0.000001,1,0)</f>
        <v>1</v>
      </c>
      <c r="X178" s="15" t="n">
        <f aca="false">IF(V178=W178,1,0)</f>
        <v>0</v>
      </c>
      <c r="Y178" s="15" t="n">
        <f aca="false">IF(IF(S178&gt;=$B$7-0.000001,1,0)=W178,1,0)</f>
        <v>1</v>
      </c>
    </row>
    <row r="179" customFormat="false" ht="15" hidden="false" customHeight="false" outlineLevel="0" collapsed="false">
      <c r="N179" s="0" t="s">
        <v>45</v>
      </c>
      <c r="O179" s="0" t="s">
        <v>118</v>
      </c>
      <c r="P179" s="0" t="s">
        <v>79</v>
      </c>
      <c r="Q179" s="16" t="n">
        <f aca="false">SUMIFS('Hourly Usage'!H$4:H$63,'Hourly Usage'!$A$4:$A$63,"Year 3",'Hourly Usage'!$B$4:$B$63,$N179,'Hourly Usage'!$C$4:$C$63,$O179)</f>
        <v>0</v>
      </c>
      <c r="R179" s="16" t="n">
        <f aca="false">$B$5*SUMIFS('Hourly Usage'!H$4:H$63,'Hourly Usage'!$A$4:$A$63,"Year 1",'Hourly Usage'!$B$4:$B$63,$N179,'Hourly Usage'!$C$4:$C$63,$O179)+$B$6*SUMIFS('Hourly Usage'!H$4:H$63,'Hourly Usage'!$A$4:$A$63,"Year 2",'Hourly Usage'!$B$4:$B$63,$N179,'Hourly Usage'!$C$4:$C$63,$O179)</f>
        <v>0.599999999999999</v>
      </c>
      <c r="S179" s="16" t="n">
        <f aca="false">SUMIFS('Hourly Usage'!H$4:H$63,'Hourly Usage'!$A$4:$A$63,"Year 2",'Hourly Usage'!$B$4:$B$63,$N179,'Hourly Usage'!$C$4:$C$63,$O179)</f>
        <v>0.999999999999999</v>
      </c>
      <c r="T179" s="16" t="n">
        <f aca="false">ABS(Q179-R179)</f>
        <v>0.599999999999999</v>
      </c>
      <c r="U179" s="16" t="n">
        <f aca="false">ABS(Q179-S179)</f>
        <v>0.999999999999999</v>
      </c>
      <c r="V179" s="15" t="n">
        <f aca="false">IF(R179&gt;=$B$7-0.000001,1,0)</f>
        <v>1</v>
      </c>
      <c r="W179" s="15" t="n">
        <f aca="false">IF(Q179&gt;=$B$7-0.000001,1,0)</f>
        <v>0</v>
      </c>
      <c r="X179" s="15" t="n">
        <f aca="false">IF(V179=W179,1,0)</f>
        <v>0</v>
      </c>
      <c r="Y179" s="15" t="n">
        <f aca="false">IF(IF(S179&gt;=$B$7-0.000001,1,0)=W179,1,0)</f>
        <v>0</v>
      </c>
    </row>
    <row r="180" customFormat="false" ht="15" hidden="false" customHeight="false" outlineLevel="0" collapsed="false">
      <c r="N180" s="0" t="s">
        <v>45</v>
      </c>
      <c r="O180" s="0" t="s">
        <v>118</v>
      </c>
      <c r="P180" s="0" t="s">
        <v>81</v>
      </c>
      <c r="Q180" s="16" t="n">
        <f aca="false">SUMIFS('Hourly Usage'!I$4:I$63,'Hourly Usage'!$A$4:$A$63,"Year 3",'Hourly Usage'!$B$4:$B$63,$N180,'Hourly Usage'!$C$4:$C$63,$O180)</f>
        <v>0</v>
      </c>
      <c r="R180" s="16" t="n">
        <f aca="false">$B$5*SUMIFS('Hourly Usage'!I$4:I$63,'Hourly Usage'!$A$4:$A$63,"Year 1",'Hourly Usage'!$B$4:$B$63,$N180,'Hourly Usage'!$C$4:$C$63,$O180)+$B$6*SUMIFS('Hourly Usage'!I$4:I$63,'Hourly Usage'!$A$4:$A$63,"Year 2",'Hourly Usage'!$B$4:$B$63,$N180,'Hourly Usage'!$C$4:$C$63,$O180)</f>
        <v>0.6</v>
      </c>
      <c r="S180" s="16" t="n">
        <f aca="false">SUMIFS('Hourly Usage'!I$4:I$63,'Hourly Usage'!$A$4:$A$63,"Year 2",'Hourly Usage'!$B$4:$B$63,$N180,'Hourly Usage'!$C$4:$C$63,$O180)</f>
        <v>1</v>
      </c>
      <c r="T180" s="16" t="n">
        <f aca="false">ABS(Q180-R180)</f>
        <v>0.6</v>
      </c>
      <c r="U180" s="16" t="n">
        <f aca="false">ABS(Q180-S180)</f>
        <v>1</v>
      </c>
      <c r="V180" s="15" t="n">
        <f aca="false">IF(R180&gt;=$B$7-0.000001,1,0)</f>
        <v>1</v>
      </c>
      <c r="W180" s="15" t="n">
        <f aca="false">IF(Q180&gt;=$B$7-0.000001,1,0)</f>
        <v>0</v>
      </c>
      <c r="X180" s="15" t="n">
        <f aca="false">IF(V180=W180,1,0)</f>
        <v>0</v>
      </c>
      <c r="Y180" s="15" t="n">
        <f aca="false">IF(IF(S180&gt;=$B$7-0.000001,1,0)=W180,1,0)</f>
        <v>0</v>
      </c>
    </row>
    <row r="181" customFormat="false" ht="15" hidden="false" customHeight="false" outlineLevel="0" collapsed="false">
      <c r="N181" s="0" t="s">
        <v>45</v>
      </c>
      <c r="O181" s="0" t="s">
        <v>118</v>
      </c>
      <c r="P181" s="0" t="s">
        <v>85</v>
      </c>
      <c r="Q181" s="16" t="n">
        <f aca="false">SUMIFS('Hourly Usage'!J$4:J$63,'Hourly Usage'!$A$4:$A$63,"Year 3",'Hourly Usage'!$B$4:$B$63,$N181,'Hourly Usage'!$C$4:$C$63,$O181)</f>
        <v>0</v>
      </c>
      <c r="R181" s="16" t="n">
        <f aca="false">$B$5*SUMIFS('Hourly Usage'!J$4:J$63,'Hourly Usage'!$A$4:$A$63,"Year 1",'Hourly Usage'!$B$4:$B$63,$N181,'Hourly Usage'!$C$4:$C$63,$O181)+$B$6*SUMIFS('Hourly Usage'!J$4:J$63,'Hourly Usage'!$A$4:$A$63,"Year 2",'Hourly Usage'!$B$4:$B$63,$N181,'Hourly Usage'!$C$4:$C$63,$O181)</f>
        <v>0.300000000000001</v>
      </c>
      <c r="S181" s="16" t="n">
        <f aca="false">SUMIFS('Hourly Usage'!J$4:J$63,'Hourly Usage'!$A$4:$A$63,"Year 2",'Hourly Usage'!$B$4:$B$63,$N181,'Hourly Usage'!$C$4:$C$63,$O181)</f>
        <v>0.500000000000001</v>
      </c>
      <c r="T181" s="16" t="n">
        <f aca="false">ABS(Q181-R181)</f>
        <v>0.300000000000001</v>
      </c>
      <c r="U181" s="16" t="n">
        <f aca="false">ABS(Q181-S181)</f>
        <v>0.500000000000001</v>
      </c>
      <c r="V181" s="15" t="n">
        <f aca="false">IF(R181&gt;=$B$7-0.000001,1,0)</f>
        <v>0</v>
      </c>
      <c r="W181" s="15" t="n">
        <f aca="false">IF(Q181&gt;=$B$7-0.000001,1,0)</f>
        <v>0</v>
      </c>
      <c r="X181" s="15" t="n">
        <f aca="false">IF(V181=W181,1,0)</f>
        <v>1</v>
      </c>
      <c r="Y181" s="15" t="n">
        <f aca="false">IF(IF(S181&gt;=$B$7-0.000001,1,0)=W181,1,0)</f>
        <v>0</v>
      </c>
    </row>
    <row r="182" customFormat="false" ht="15" hidden="false" customHeight="false" outlineLevel="0" collapsed="false">
      <c r="N182" s="0" t="s">
        <v>45</v>
      </c>
      <c r="O182" s="0" t="s">
        <v>118</v>
      </c>
      <c r="P182" s="0" t="s">
        <v>88</v>
      </c>
      <c r="Q182" s="16" t="n">
        <f aca="false">SUMIFS('Hourly Usage'!K$4:K$63,'Hourly Usage'!$A$4:$A$63,"Year 3",'Hourly Usage'!$B$4:$B$63,$N182,'Hourly Usage'!$C$4:$C$63,$O182)</f>
        <v>0</v>
      </c>
      <c r="R182" s="16" t="n">
        <f aca="false">$B$5*SUMIFS('Hourly Usage'!K$4:K$63,'Hourly Usage'!$A$4:$A$63,"Year 1",'Hourly Usage'!$B$4:$B$63,$N182,'Hourly Usage'!$C$4:$C$63,$O182)+$B$6*SUMIFS('Hourly Usage'!K$4:K$63,'Hourly Usage'!$A$4:$A$63,"Year 2",'Hourly Usage'!$B$4:$B$63,$N182,'Hourly Usage'!$C$4:$C$63,$O182)</f>
        <v>0.599999999999999</v>
      </c>
      <c r="S182" s="16" t="n">
        <f aca="false">SUMIFS('Hourly Usage'!K$4:K$63,'Hourly Usage'!$A$4:$A$63,"Year 2",'Hourly Usage'!$B$4:$B$63,$N182,'Hourly Usage'!$C$4:$C$63,$O182)</f>
        <v>0.999999999999999</v>
      </c>
      <c r="T182" s="16" t="n">
        <f aca="false">ABS(Q182-R182)</f>
        <v>0.599999999999999</v>
      </c>
      <c r="U182" s="16" t="n">
        <f aca="false">ABS(Q182-S182)</f>
        <v>0.999999999999999</v>
      </c>
      <c r="V182" s="15" t="n">
        <f aca="false">IF(R182&gt;=$B$7-0.000001,1,0)</f>
        <v>1</v>
      </c>
      <c r="W182" s="15" t="n">
        <f aca="false">IF(Q182&gt;=$B$7-0.000001,1,0)</f>
        <v>0</v>
      </c>
      <c r="X182" s="15" t="n">
        <f aca="false">IF(V182=W182,1,0)</f>
        <v>0</v>
      </c>
      <c r="Y182" s="15" t="n">
        <f aca="false">IF(IF(S182&gt;=$B$7-0.000001,1,0)=W182,1,0)</f>
        <v>0</v>
      </c>
    </row>
    <row r="183" customFormat="false" ht="15" hidden="false" customHeight="false" outlineLevel="0" collapsed="false">
      <c r="N183" s="0" t="s">
        <v>45</v>
      </c>
      <c r="O183" s="0" t="s">
        <v>118</v>
      </c>
      <c r="P183" s="0" t="s">
        <v>91</v>
      </c>
      <c r="Q183" s="16" t="n">
        <f aca="false">SUMIFS('Hourly Usage'!L$4:L$63,'Hourly Usage'!$A$4:$A$63,"Year 3",'Hourly Usage'!$B$4:$B$63,$N183,'Hourly Usage'!$C$4:$C$63,$O183)</f>
        <v>0</v>
      </c>
      <c r="R183" s="16" t="n">
        <f aca="false">$B$5*SUMIFS('Hourly Usage'!L$4:L$63,'Hourly Usage'!$A$4:$A$63,"Year 1",'Hourly Usage'!$B$4:$B$63,$N183,'Hourly Usage'!$C$4:$C$63,$O183)+$B$6*SUMIFS('Hourly Usage'!L$4:L$63,'Hourly Usage'!$A$4:$A$63,"Year 2",'Hourly Usage'!$B$4:$B$63,$N183,'Hourly Usage'!$C$4:$C$63,$O183)</f>
        <v>0</v>
      </c>
      <c r="S183" s="16" t="n">
        <f aca="false">SUMIFS('Hourly Usage'!L$4:L$63,'Hourly Usage'!$A$4:$A$63,"Year 2",'Hourly Usage'!$B$4:$B$63,$N183,'Hourly Usage'!$C$4:$C$63,$O183)</f>
        <v>0</v>
      </c>
      <c r="T183" s="16" t="n">
        <f aca="false">ABS(Q183-R183)</f>
        <v>0</v>
      </c>
      <c r="U183" s="16" t="n">
        <f aca="false">ABS(Q183-S183)</f>
        <v>0</v>
      </c>
      <c r="V183" s="15" t="n">
        <f aca="false">IF(R183&gt;=$B$7-0.000001,1,0)</f>
        <v>0</v>
      </c>
      <c r="W183" s="15" t="n">
        <f aca="false">IF(Q183&gt;=$B$7-0.000001,1,0)</f>
        <v>0</v>
      </c>
      <c r="X183" s="15" t="n">
        <f aca="false">IF(V183=W183,1,0)</f>
        <v>1</v>
      </c>
      <c r="Y183" s="15" t="n">
        <f aca="false">IF(IF(S183&gt;=$B$7-0.000001,1,0)=W183,1,0)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1" t="str">
        <f aca="false">"Room A Hourly Usage Summary, "&amp;Assumptions!B3</f>
        <v>Room A Hourly Usage Summary, Year 4</v>
      </c>
    </row>
    <row r="3" customFormat="false" ht="30" hidden="false" customHeight="true" outlineLevel="0" collapsed="false">
      <c r="A3" s="8" t="s">
        <v>31</v>
      </c>
      <c r="B3" s="8" t="s">
        <v>119</v>
      </c>
      <c r="C3" s="8" t="s">
        <v>120</v>
      </c>
      <c r="D3" s="8" t="s">
        <v>121</v>
      </c>
      <c r="E3" s="8" t="s">
        <v>122</v>
      </c>
      <c r="F3" s="8" t="s">
        <v>123</v>
      </c>
      <c r="G3" s="8" t="s">
        <v>124</v>
      </c>
      <c r="H3" s="8" t="s">
        <v>125</v>
      </c>
    </row>
    <row r="4" customFormat="false" ht="15" hidden="false" customHeight="false" outlineLevel="0" collapsed="false">
      <c r="A4" s="9" t="s">
        <v>42</v>
      </c>
      <c r="B4" s="10" t="n">
        <f aca="false">Forecast!M11</f>
        <v>19.9833333333333</v>
      </c>
      <c r="C4" s="11" t="n">
        <f aca="false">B4/45</f>
        <v>0.444074074074074</v>
      </c>
      <c r="D4" s="12" t="n">
        <f aca="false">Forecast!C11</f>
        <v>10</v>
      </c>
      <c r="E4" s="26" t="str">
        <f aca="false">INDEX(Forecast!$D$5:$L$5,MATCH(MAX(Forecast!D11:L11),Forecast!D11:L11,0))</f>
        <v>12-1 PM</v>
      </c>
      <c r="F4" s="11" t="n">
        <f aca="false">MAX(Forecast!D11:L11)</f>
        <v>0.809999999999999</v>
      </c>
      <c r="G4" s="26" t="str">
        <f aca="false">INDEX(Forecast!$D$5:$L$5,MATCH(MIN(Forecast!D11:L11),Forecast!D11:L11,0))</f>
        <v>8-9 AM</v>
      </c>
      <c r="H4" s="10" t="n">
        <f aca="false">Forecast!N11</f>
        <v>25.0166666666667</v>
      </c>
    </row>
    <row r="5" customFormat="false" ht="15" hidden="false" customHeight="false" outlineLevel="0" collapsed="false">
      <c r="A5" s="9" t="s">
        <v>43</v>
      </c>
      <c r="B5" s="10" t="n">
        <f aca="false">Forecast!M20</f>
        <v>19.5166666666667</v>
      </c>
      <c r="C5" s="11" t="n">
        <f aca="false">B5/45</f>
        <v>0.433703703703703</v>
      </c>
      <c r="D5" s="12" t="n">
        <f aca="false">Forecast!C20</f>
        <v>10</v>
      </c>
      <c r="E5" s="26" t="str">
        <f aca="false">INDEX(Forecast!$D$5:$L$5,MATCH(MAX(Forecast!D20:L20),Forecast!D20:L20,0))</f>
        <v>12-1 PM</v>
      </c>
      <c r="F5" s="11" t="n">
        <f aca="false">MAX(Forecast!D20:L20)</f>
        <v>0.859999999999998</v>
      </c>
      <c r="G5" s="26" t="str">
        <f aca="false">INDEX(Forecast!$D$5:$L$5,MATCH(MIN(Forecast!D20:L20),Forecast!D20:L20,0))</f>
        <v>8-9 AM</v>
      </c>
      <c r="H5" s="10" t="n">
        <f aca="false">Forecast!N20</f>
        <v>25.4833333333334</v>
      </c>
    </row>
    <row r="6" customFormat="false" ht="15" hidden="false" customHeight="false" outlineLevel="0" collapsed="false">
      <c r="A6" s="9" t="s">
        <v>44</v>
      </c>
      <c r="B6" s="10" t="n">
        <f aca="false">Forecast!M29</f>
        <v>18.375</v>
      </c>
      <c r="C6" s="11" t="n">
        <f aca="false">B6/45</f>
        <v>0.408333333333333</v>
      </c>
      <c r="D6" s="12" t="n">
        <f aca="false">Forecast!C29</f>
        <v>10</v>
      </c>
      <c r="E6" s="26" t="str">
        <f aca="false">INDEX(Forecast!$D$5:$L$5,MATCH(MAX(Forecast!D29:L29),Forecast!D29:L29,0))</f>
        <v>3-4 PM</v>
      </c>
      <c r="F6" s="11" t="n">
        <f aca="false">MAX(Forecast!D29:L29)</f>
        <v>0.649999999999998</v>
      </c>
      <c r="G6" s="26" t="str">
        <f aca="false">INDEX(Forecast!$D$5:$L$5,MATCH(MIN(Forecast!D29:L29),Forecast!D29:L29,0))</f>
        <v>8-9 AM</v>
      </c>
      <c r="H6" s="10" t="n">
        <f aca="false">Forecast!N29</f>
        <v>26.625</v>
      </c>
    </row>
    <row r="7" customFormat="false" ht="15" hidden="false" customHeight="false" outlineLevel="0" collapsed="false">
      <c r="A7" s="9" t="s">
        <v>45</v>
      </c>
      <c r="B7" s="10" t="n">
        <f aca="false">Forecast!M38</f>
        <v>11.25</v>
      </c>
      <c r="C7" s="11" t="n">
        <f aca="false">B7/45</f>
        <v>0.25</v>
      </c>
      <c r="D7" s="12" t="n">
        <f aca="false">Forecast!C38</f>
        <v>6</v>
      </c>
      <c r="E7" s="26" t="str">
        <f aca="false">INDEX(Forecast!$D$5:$L$5,MATCH(MAX(Forecast!D38:L38),Forecast!D38:L38,0))</f>
        <v>12-1 PM</v>
      </c>
      <c r="F7" s="11" t="n">
        <f aca="false">MAX(Forecast!D38:L38)</f>
        <v>0.509999999999999</v>
      </c>
      <c r="G7" s="26" t="str">
        <f aca="false">INDEX(Forecast!$D$5:$L$5,MATCH(MIN(Forecast!D38:L38),Forecast!D38:L38,0))</f>
        <v>8-9 AM</v>
      </c>
      <c r="H7" s="10" t="n">
        <f aca="false">Forecast!N38</f>
        <v>33.75</v>
      </c>
    </row>
    <row r="9" customFormat="false" ht="15" hidden="false" customHeight="false" outlineLevel="0" collapsed="false">
      <c r="A9" s="3" t="s">
        <v>126</v>
      </c>
    </row>
    <row r="10" customFormat="false" ht="30" hidden="false" customHeight="true" outlineLevel="0" collapsed="false">
      <c r="A10" s="8" t="s">
        <v>31</v>
      </c>
      <c r="B10" s="8" t="s">
        <v>71</v>
      </c>
      <c r="C10" s="8" t="s">
        <v>74</v>
      </c>
      <c r="D10" s="8" t="s">
        <v>76</v>
      </c>
      <c r="E10" s="8" t="s">
        <v>78</v>
      </c>
      <c r="F10" s="8" t="s">
        <v>79</v>
      </c>
      <c r="G10" s="8" t="s">
        <v>81</v>
      </c>
      <c r="H10" s="8" t="s">
        <v>85</v>
      </c>
      <c r="I10" s="8" t="s">
        <v>88</v>
      </c>
      <c r="J10" s="8" t="s">
        <v>91</v>
      </c>
    </row>
    <row r="11" customFormat="false" ht="15" hidden="false" customHeight="false" outlineLevel="0" collapsed="false">
      <c r="A11" s="9" t="s">
        <v>42</v>
      </c>
      <c r="B11" s="27" t="n">
        <f aca="false">Forecast!D11</f>
        <v>0.03</v>
      </c>
      <c r="C11" s="27" t="n">
        <f aca="false">Forecast!E11</f>
        <v>0.4</v>
      </c>
      <c r="D11" s="27" t="n">
        <f aca="false">Forecast!F11</f>
        <v>0.469999999999999</v>
      </c>
      <c r="E11" s="27" t="n">
        <f aca="false">Forecast!G11</f>
        <v>0.285000000000001</v>
      </c>
      <c r="F11" s="27" t="n">
        <f aca="false">Forecast!H11</f>
        <v>0.809999999999999</v>
      </c>
      <c r="G11" s="27" t="n">
        <f aca="false">Forecast!I11</f>
        <v>0.501666666666669</v>
      </c>
      <c r="H11" s="27" t="n">
        <f aca="false">Forecast!J11</f>
        <v>0.2</v>
      </c>
      <c r="I11" s="27" t="n">
        <f aca="false">Forecast!K11</f>
        <v>0.689999999999997</v>
      </c>
      <c r="J11" s="27" t="n">
        <f aca="false">Forecast!L11</f>
        <v>0.610000000000001</v>
      </c>
    </row>
    <row r="12" customFormat="false" ht="15" hidden="false" customHeight="false" outlineLevel="0" collapsed="false">
      <c r="A12" s="9" t="s">
        <v>43</v>
      </c>
      <c r="B12" s="27" t="n">
        <f aca="false">Forecast!D20</f>
        <v>0</v>
      </c>
      <c r="C12" s="27" t="n">
        <f aca="false">Forecast!E20</f>
        <v>0.25</v>
      </c>
      <c r="D12" s="27" t="n">
        <f aca="false">Forecast!F20</f>
        <v>0.249999999999999</v>
      </c>
      <c r="E12" s="27" t="n">
        <f aca="false">Forecast!G20</f>
        <v>0.265</v>
      </c>
      <c r="F12" s="27" t="n">
        <f aca="false">Forecast!H20</f>
        <v>0.859999999999998</v>
      </c>
      <c r="G12" s="27" t="n">
        <f aca="false">Forecast!I20</f>
        <v>0.641666666666668</v>
      </c>
      <c r="H12" s="27" t="n">
        <f aca="false">Forecast!J20</f>
        <v>0.386666666666666</v>
      </c>
      <c r="I12" s="27" t="n">
        <f aca="false">Forecast!K20</f>
        <v>0.649999999999998</v>
      </c>
      <c r="J12" s="27" t="n">
        <f aca="false">Forecast!L20</f>
        <v>0.6</v>
      </c>
    </row>
    <row r="13" customFormat="false" ht="15" hidden="false" customHeight="false" outlineLevel="0" collapsed="false">
      <c r="A13" s="9" t="s">
        <v>44</v>
      </c>
      <c r="B13" s="27" t="n">
        <f aca="false">Forecast!D29</f>
        <v>0.05</v>
      </c>
      <c r="C13" s="27" t="n">
        <f aca="false">Forecast!E29</f>
        <v>0.36</v>
      </c>
      <c r="D13" s="27" t="n">
        <f aca="false">Forecast!F29</f>
        <v>0.259999999999999</v>
      </c>
      <c r="E13" s="27" t="n">
        <f aca="false">Forecast!G29</f>
        <v>0.21</v>
      </c>
      <c r="F13" s="27" t="n">
        <f aca="false">Forecast!H29</f>
        <v>0.639999999999999</v>
      </c>
      <c r="G13" s="27" t="n">
        <f aca="false">Forecast!I29</f>
        <v>0.455000000000001</v>
      </c>
      <c r="H13" s="27" t="n">
        <f aca="false">Forecast!J29</f>
        <v>0.409999999999999</v>
      </c>
      <c r="I13" s="27" t="n">
        <f aca="false">Forecast!K29</f>
        <v>0.649999999999998</v>
      </c>
      <c r="J13" s="27" t="n">
        <f aca="false">Forecast!L29</f>
        <v>0.640000000000001</v>
      </c>
    </row>
    <row r="14" customFormat="false" ht="15" hidden="false" customHeight="false" outlineLevel="0" collapsed="false">
      <c r="A14" s="9" t="s">
        <v>45</v>
      </c>
      <c r="B14" s="27" t="n">
        <f aca="false">Forecast!D38</f>
        <v>0</v>
      </c>
      <c r="C14" s="27" t="n">
        <f aca="false">Forecast!E38</f>
        <v>0.21</v>
      </c>
      <c r="D14" s="27" t="n">
        <f aca="false">Forecast!F38</f>
        <v>0.29</v>
      </c>
      <c r="E14" s="27" t="n">
        <f aca="false">Forecast!G38</f>
        <v>0.330000000000001</v>
      </c>
      <c r="F14" s="27" t="n">
        <f aca="false">Forecast!H38</f>
        <v>0.509999999999999</v>
      </c>
      <c r="G14" s="27" t="n">
        <f aca="false">Forecast!I38</f>
        <v>0.34</v>
      </c>
      <c r="H14" s="27" t="n">
        <f aca="false">Forecast!J38</f>
        <v>0.11</v>
      </c>
      <c r="I14" s="27" t="n">
        <f aca="false">Forecast!K38</f>
        <v>0.199999999999999</v>
      </c>
      <c r="J14" s="27" t="n">
        <f aca="false">Forecast!L38</f>
        <v>0.26</v>
      </c>
    </row>
    <row r="16" customFormat="false" ht="15" hidden="false" customHeight="false" outlineLevel="0" collapsed="false">
      <c r="A16" s="3" t="s">
        <v>127</v>
      </c>
    </row>
    <row r="17" customFormat="false" ht="15" hidden="false" customHeight="false" outlineLevel="0" collapsed="false">
      <c r="A17" s="26" t="s">
        <v>128</v>
      </c>
      <c r="B17" s="10" t="n">
        <f aca="false">'Current Fall Actual'!M10</f>
        <v>15.8333333333333</v>
      </c>
    </row>
    <row r="18" customFormat="false" ht="15" hidden="false" customHeight="false" outlineLevel="0" collapsed="false">
      <c r="A18" s="26" t="s">
        <v>129</v>
      </c>
      <c r="B18" s="10" t="n">
        <f aca="false">Forecast!M11</f>
        <v>19.9833333333333</v>
      </c>
    </row>
    <row r="19" customFormat="false" ht="15" hidden="false" customHeight="false" outlineLevel="0" collapsed="false">
      <c r="A19" s="26" t="s">
        <v>130</v>
      </c>
      <c r="B19" s="28" t="n">
        <f aca="false">B17/B18-1</f>
        <v>-0.20767306088407</v>
      </c>
    </row>
  </sheetData>
  <conditionalFormatting sqref="B11:J14">
    <cfRule type="colorScale" priority="2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131</v>
      </c>
    </row>
    <row r="2" customFormat="false" ht="30" hidden="false" customHeight="true" outlineLevel="0" collapsed="false">
      <c r="A2" s="8" t="s">
        <v>132</v>
      </c>
      <c r="B2" s="8" t="s">
        <v>133</v>
      </c>
      <c r="C2" s="8" t="s">
        <v>47</v>
      </c>
    </row>
    <row r="3" customFormat="false" ht="15" hidden="false" customHeight="false" outlineLevel="0" collapsed="false">
      <c r="A3" s="26" t="s">
        <v>134</v>
      </c>
      <c r="B3" s="29" t="s">
        <v>135</v>
      </c>
      <c r="C3" s="26"/>
    </row>
    <row r="4" customFormat="false" ht="15" hidden="false" customHeight="false" outlineLevel="0" collapsed="false">
      <c r="A4" s="26" t="s">
        <v>136</v>
      </c>
      <c r="B4" s="30" t="n">
        <v>0</v>
      </c>
      <c r="C4" s="26" t="s">
        <v>137</v>
      </c>
    </row>
    <row r="5" customFormat="false" ht="15" hidden="false" customHeight="false" outlineLevel="0" collapsed="false">
      <c r="A5" s="26" t="s">
        <v>138</v>
      </c>
      <c r="B5" s="18" t="n">
        <v>0.2</v>
      </c>
      <c r="C5" s="26"/>
    </row>
    <row r="6" customFormat="false" ht="15" hidden="false" customHeight="false" outlineLevel="0" collapsed="false">
      <c r="A6" s="26" t="s">
        <v>139</v>
      </c>
      <c r="B6" s="18" t="n">
        <v>0.3</v>
      </c>
      <c r="C6" s="26"/>
    </row>
    <row r="7" customFormat="false" ht="15" hidden="false" customHeight="false" outlineLevel="0" collapsed="false">
      <c r="A7" s="26" t="s">
        <v>140</v>
      </c>
      <c r="B7" s="18" t="n">
        <v>0.5</v>
      </c>
      <c r="C7" s="26" t="s">
        <v>141</v>
      </c>
    </row>
    <row r="8" customFormat="false" ht="15" hidden="false" customHeight="false" outlineLevel="0" collapsed="false">
      <c r="A8" s="26" t="s">
        <v>142</v>
      </c>
      <c r="B8" s="31" t="n">
        <v>1</v>
      </c>
      <c r="C8" s="26" t="s">
        <v>143</v>
      </c>
    </row>
    <row r="9" customFormat="false" ht="15" hidden="false" customHeight="false" outlineLevel="0" collapsed="false">
      <c r="A9" s="26" t="s">
        <v>144</v>
      </c>
      <c r="B9" s="31" t="n">
        <v>3</v>
      </c>
      <c r="C9" s="26" t="s">
        <v>145</v>
      </c>
    </row>
    <row r="10" customFormat="false" ht="15" hidden="false" customHeight="false" outlineLevel="0" collapsed="false">
      <c r="A10" s="26" t="s">
        <v>77</v>
      </c>
      <c r="B10" s="18" t="n">
        <v>0.75</v>
      </c>
      <c r="C10" s="26" t="s">
        <v>146</v>
      </c>
    </row>
    <row r="13" customFormat="false" ht="15" hidden="false" customHeight="false" outlineLevel="0" collapsed="false">
      <c r="A13" s="3" t="s">
        <v>147</v>
      </c>
    </row>
    <row r="14" customFormat="false" ht="30" hidden="false" customHeight="true" outlineLevel="0" collapsed="false">
      <c r="A14" s="8" t="s">
        <v>148</v>
      </c>
      <c r="B14" s="8" t="s">
        <v>133</v>
      </c>
      <c r="C14" s="8" t="s">
        <v>47</v>
      </c>
    </row>
    <row r="15" customFormat="false" ht="15" hidden="false" customHeight="false" outlineLevel="0" collapsed="false">
      <c r="A15" s="26" t="s">
        <v>149</v>
      </c>
      <c r="B15" s="18" t="n">
        <v>0.2</v>
      </c>
      <c r="C15" s="26" t="s">
        <v>150</v>
      </c>
    </row>
    <row r="16" customFormat="false" ht="15" hidden="false" customHeight="false" outlineLevel="0" collapsed="false">
      <c r="A16" s="26" t="s">
        <v>151</v>
      </c>
      <c r="B16" s="18" t="n">
        <v>0.5</v>
      </c>
      <c r="C16" s="26" t="s">
        <v>152</v>
      </c>
    </row>
    <row r="17" customFormat="false" ht="15" hidden="false" customHeight="false" outlineLevel="0" collapsed="false">
      <c r="A17" s="26" t="s">
        <v>153</v>
      </c>
      <c r="B17" s="18" t="n">
        <v>0.35</v>
      </c>
      <c r="C17" s="26" t="s">
        <v>154</v>
      </c>
    </row>
    <row r="18" customFormat="false" ht="15" hidden="false" customHeight="false" outlineLevel="0" collapsed="false">
      <c r="A18" s="26" t="s">
        <v>155</v>
      </c>
      <c r="B18" s="31" t="n">
        <v>10</v>
      </c>
      <c r="C18" s="26" t="s">
        <v>156</v>
      </c>
    </row>
    <row r="19" customFormat="false" ht="15" hidden="false" customHeight="false" outlineLevel="0" collapsed="false">
      <c r="A19" s="26" t="s">
        <v>157</v>
      </c>
      <c r="B19" s="31" t="n">
        <v>8</v>
      </c>
      <c r="C19" s="26" t="s">
        <v>158</v>
      </c>
    </row>
    <row r="20" customFormat="false" ht="15" hidden="false" customHeight="false" outlineLevel="0" collapsed="false">
      <c r="A20" s="26" t="s">
        <v>159</v>
      </c>
      <c r="B20" s="31" t="n">
        <v>36</v>
      </c>
      <c r="C20" s="26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5" min="14" style="0" width="9"/>
    <col collapsed="false" customWidth="true" hidden="false" outlineLevel="0" max="16" min="16" style="0" width="11"/>
    <col collapsed="false" customWidth="true" hidden="false" outlineLevel="0" max="17" min="17" style="0" width="8"/>
    <col collapsed="false" customWidth="true" hidden="false" outlineLevel="0" max="19" min="18" style="0" width="9"/>
    <col collapsed="false" customWidth="true" hidden="false" outlineLevel="0" max="20" min="20" style="0" width="11"/>
    <col collapsed="false" customWidth="true" hidden="false" outlineLevel="0" max="21" min="21" style="0" width="8"/>
    <col collapsed="false" customWidth="true" hidden="false" outlineLevel="0" max="23" min="22" style="0" width="12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7" t="s">
        <v>162</v>
      </c>
    </row>
    <row r="4" customFormat="false" ht="30" hidden="false" customHeight="true" outlineLevel="0" collapsed="false">
      <c r="A4" s="8" t="s">
        <v>163</v>
      </c>
      <c r="B4" s="8" t="s">
        <v>164</v>
      </c>
      <c r="C4" s="8" t="s">
        <v>165</v>
      </c>
      <c r="D4" s="8" t="s">
        <v>166</v>
      </c>
      <c r="E4" s="8" t="s">
        <v>167</v>
      </c>
      <c r="F4" s="8" t="s">
        <v>168</v>
      </c>
      <c r="G4" s="8" t="s">
        <v>169</v>
      </c>
      <c r="H4" s="8" t="s">
        <v>170</v>
      </c>
      <c r="I4" s="8" t="s">
        <v>171</v>
      </c>
      <c r="J4" s="8" t="s">
        <v>172</v>
      </c>
      <c r="K4" s="8" t="s">
        <v>173</v>
      </c>
      <c r="L4" s="8" t="s">
        <v>174</v>
      </c>
      <c r="M4" s="8" t="s">
        <v>175</v>
      </c>
      <c r="N4" s="8" t="s">
        <v>176</v>
      </c>
      <c r="O4" s="8" t="s">
        <v>177</v>
      </c>
      <c r="P4" s="8" t="s">
        <v>178</v>
      </c>
      <c r="Q4" s="8" t="s">
        <v>179</v>
      </c>
      <c r="R4" s="8" t="s">
        <v>180</v>
      </c>
      <c r="S4" s="8" t="s">
        <v>181</v>
      </c>
      <c r="T4" s="8" t="s">
        <v>182</v>
      </c>
      <c r="U4" s="8" t="s">
        <v>183</v>
      </c>
      <c r="V4" s="8" t="s">
        <v>184</v>
      </c>
      <c r="W4" s="8" t="s">
        <v>185</v>
      </c>
    </row>
    <row r="5" customFormat="false" ht="15" hidden="false" customHeight="false" outlineLevel="0" collapsed="false">
      <c r="A5" s="32" t="s">
        <v>186</v>
      </c>
      <c r="B5" s="32" t="s">
        <v>187</v>
      </c>
      <c r="C5" s="33" t="n">
        <v>0.354166666666667</v>
      </c>
      <c r="D5" s="33" t="n">
        <v>0.388888888888889</v>
      </c>
      <c r="E5" s="10" t="n">
        <f aca="false">(LEN(B5)-LEN(SUBSTITUTE(B5,",",""))+1)*(MIN(D5,17/24)-MAX(C5,8/24))*24</f>
        <v>2.5</v>
      </c>
      <c r="F5" s="11" t="n">
        <f aca="false">IFERROR(SUMPRODUCT(ISNUMBER(SEARCH(Forecast!$B$6:$B$10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*Forecast!$D$6:$L$10)/SUMPRODUCT(ISNUMBER(SEARCH(Forecast!$B$6:$B$10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),0)</f>
        <v>0.216666666666667</v>
      </c>
      <c r="G5" s="11" t="n">
        <f aca="false">SUMPRODUCT(MAX(ISNUMBER(SEARCH(Forecast!$B$6:$B$10,$B5))*(Forecast!$D$3:$L$3&lt;($D5*24))*(Forecast!$D$3:$L$3+1&gt;($C5*24))*Forecast!$D$6:$L$10))</f>
        <v>0.7</v>
      </c>
      <c r="H5" s="26" t="str">
        <f aca="false">IF(AND(F5&lt;=Assumptions!$B$15,G5&lt;=Assumptions!$B$16),"Open",IF(F5&lt;=Assumptions!$B$17,"Check first","Conflict"))</f>
        <v>Check first</v>
      </c>
      <c r="I5" s="34" t="n">
        <v>1</v>
      </c>
      <c r="J5" s="11" t="n">
        <f aca="false">IFERROR(SUMPRODUCT(ISNUMBER(SEARCH(Forecast!$B$15:$B$19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*Forecast!$D$15:$L$19)/SUMPRODUCT(ISNUMBER(SEARCH(Forecast!$B$15:$B$19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),0)</f>
        <v>0.153333333333334</v>
      </c>
      <c r="K5" s="11" t="n">
        <f aca="false">SUMPRODUCT(MAX(ISNUMBER(SEARCH(Forecast!$B$15:$B$19,$B5))*(Forecast!$D$3:$L$3&lt;($D5*24))*(Forecast!$D$3:$L$3+1&gt;($C5*24))*Forecast!$D$15:$L$19))</f>
        <v>0.5</v>
      </c>
      <c r="L5" s="26" t="str">
        <f aca="false">IF(AND(J5&lt;=Assumptions!$B$15,K5&lt;=Assumptions!$B$16),"Open",IF(J5&lt;=Assumptions!$B$17,"Check first","Conflict"))</f>
        <v>Open</v>
      </c>
      <c r="M5" s="34" t="n">
        <v>1</v>
      </c>
      <c r="N5" s="11" t="n">
        <f aca="false">IFERROR(SUMPRODUCT(ISNUMBER(SEARCH(Forecast!$B$24:$B$28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*Forecast!$D$24:$L$28)/SUMPRODUCT(ISNUMBER(SEARCH(Forecast!$B$24:$B$28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),0)</f>
        <v>0.290000000000001</v>
      </c>
      <c r="O5" s="11" t="n">
        <f aca="false">SUMPRODUCT(MAX(ISNUMBER(SEARCH(Forecast!$B$24:$B$28,$B5))*(Forecast!$D$3:$L$3&lt;($D5*24))*(Forecast!$D$3:$L$3+1&gt;($C5*24))*Forecast!$D$24:$L$28))</f>
        <v>0.8</v>
      </c>
      <c r="P5" s="26" t="str">
        <f aca="false">IF(AND(N5&lt;=Assumptions!$B$15,O5&lt;=Assumptions!$B$16),"Open",IF(N5&lt;=Assumptions!$B$17,"Check first","Conflict"))</f>
        <v>Check first</v>
      </c>
      <c r="Q5" s="34" t="n">
        <v>1</v>
      </c>
      <c r="R5" s="11" t="n">
        <f aca="false">IFERROR(SUMPRODUCT(ISNUMBER(SEARCH(Forecast!$B$33:$B$37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*Forecast!$D$33:$L$37)/SUMPRODUCT(ISNUMBER(SEARCH(Forecast!$B$33:$B$37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),0)</f>
        <v>0.140000000000001</v>
      </c>
      <c r="S5" s="11" t="n">
        <f aca="false">SUMPRODUCT(MAX(ISNUMBER(SEARCH(Forecast!$B$33:$B$37,$B5))*(Forecast!$D$3:$L$3&lt;($D5*24))*(Forecast!$D$3:$L$3+1&gt;($C5*24))*Forecast!$D$33:$L$37))</f>
        <v>0.8</v>
      </c>
      <c r="T5" s="26" t="str">
        <f aca="false">IF(AND(R5&lt;=Assumptions!$B$15,S5&lt;=Assumptions!$B$16),"Open",IF(R5&lt;=Assumptions!$B$17,"Check first","Conflict"))</f>
        <v>Check first</v>
      </c>
      <c r="U5" s="34" t="n">
        <v>1</v>
      </c>
      <c r="V5" s="11" t="n">
        <f aca="false">IFERROR(SUMPRODUCT(ISNUMBER(SEARCH('Current Fall Actual'!$B$5:$B$9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*'Current Fall Actual'!$D$5:$L$9)/SUMPRODUCT(ISNUMBER(SEARCH('Current Fall Actual'!$B$5:$B$9,$B5))*(((((($D5*24)+Forecast!$D$3:$L$3+1-ABS(($D5*24)-Forecast!$D$3:$L$3-1))/2)-((($C5*24)+Forecast!$D$3:$L$3+ABS(($C5*24)-Forecast!$D$3:$L$3))/2))+ABS((((($D5*24)+Forecast!$D$3:$L$3+1-ABS(($D5*24)-Forecast!$D$3:$L$3-1))/2)-((($C5*24)+Forecast!$D$3:$L$3+ABS(($C5*24)-Forecast!$D$3:$L$3))/2))))/2)),0)</f>
        <v>0.133333333333334</v>
      </c>
      <c r="W5" s="11" t="n">
        <f aca="false">SUMPRODUCT(MAX(ISNUMBER(SEARCH('Current Fall Actual'!$B$5:$B$9,$B5))*(Forecast!$D$3:$L$3&lt;($D5*24))*(Forecast!$D$3:$L$3+1&gt;($C5*24))*'Current Fall Actual'!$D$5:$L$9))</f>
        <v>1</v>
      </c>
    </row>
    <row r="6" customFormat="false" ht="15" hidden="false" customHeight="false" outlineLevel="0" collapsed="false">
      <c r="A6" s="32" t="s">
        <v>186</v>
      </c>
      <c r="B6" s="32" t="s">
        <v>187</v>
      </c>
      <c r="C6" s="33" t="n">
        <v>0.395833333333333</v>
      </c>
      <c r="D6" s="33" t="n">
        <v>0.430555555555556</v>
      </c>
      <c r="E6" s="10" t="n">
        <f aca="false">(LEN(B6)-LEN(SUBSTITUTE(B6,",",""))+1)*(MIN(D6,17/24)-MAX(C6,8/24))*24</f>
        <v>2.5</v>
      </c>
      <c r="F6" s="11" t="n">
        <f aca="false">IFERROR(SUMPRODUCT(ISNUMBER(SEARCH(Forecast!$B$6:$B$10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*Forecast!$D$6:$L$10)/SUMPRODUCT(ISNUMBER(SEARCH(Forecast!$B$6:$B$10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),0)</f>
        <v>0.513333333333333</v>
      </c>
      <c r="G6" s="11" t="n">
        <f aca="false">SUMPRODUCT(MAX(ISNUMBER(SEARCH(Forecast!$B$6:$B$10,$B6))*(Forecast!$D$3:$L$3&lt;($D6*24))*(Forecast!$D$3:$L$3+1&gt;($C6*24))*Forecast!$D$6:$L$10))</f>
        <v>0.849999999999999</v>
      </c>
      <c r="H6" s="26" t="str">
        <f aca="false">IF(AND(F6&lt;=Assumptions!$B$15,G6&lt;=Assumptions!$B$16),"Open",IF(F6&lt;=Assumptions!$B$17,"Check first","Conflict"))</f>
        <v>Conflict</v>
      </c>
      <c r="I6" s="34" t="n">
        <v>0</v>
      </c>
      <c r="J6" s="11" t="n">
        <f aca="false">IFERROR(SUMPRODUCT(ISNUMBER(SEARCH(Forecast!$B$15:$B$19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*Forecast!$D$15:$L$19)/SUMPRODUCT(ISNUMBER(SEARCH(Forecast!$B$15:$B$19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),0)</f>
        <v>0.37</v>
      </c>
      <c r="K6" s="11" t="n">
        <f aca="false">SUMPRODUCT(MAX(ISNUMBER(SEARCH(Forecast!$B$15:$B$19,$B6))*(Forecast!$D$3:$L$3&lt;($D6*24))*(Forecast!$D$3:$L$3+1&gt;($C6*24))*Forecast!$D$15:$L$19))</f>
        <v>0.5</v>
      </c>
      <c r="L6" s="26" t="str">
        <f aca="false">IF(AND(J6&lt;=Assumptions!$B$15,K6&lt;=Assumptions!$B$16),"Open",IF(J6&lt;=Assumptions!$B$17,"Check first","Conflict"))</f>
        <v>Conflict</v>
      </c>
      <c r="M6" s="34" t="n">
        <v>0</v>
      </c>
      <c r="N6" s="11" t="n">
        <f aca="false">IFERROR(SUMPRODUCT(ISNUMBER(SEARCH(Forecast!$B$24:$B$28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*Forecast!$D$24:$L$28)/SUMPRODUCT(ISNUMBER(SEARCH(Forecast!$B$24:$B$28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),0)</f>
        <v>0.533333333333333</v>
      </c>
      <c r="O6" s="11" t="n">
        <f aca="false">SUMPRODUCT(MAX(ISNUMBER(SEARCH(Forecast!$B$24:$B$28,$B6))*(Forecast!$D$3:$L$3&lt;($D6*24))*(Forecast!$D$3:$L$3+1&gt;($C6*24))*Forecast!$D$24:$L$28))</f>
        <v>0.8</v>
      </c>
      <c r="P6" s="26" t="str">
        <f aca="false">IF(AND(N6&lt;=Assumptions!$B$15,O6&lt;=Assumptions!$B$16),"Open",IF(N6&lt;=Assumptions!$B$17,"Check first","Conflict"))</f>
        <v>Conflict</v>
      </c>
      <c r="Q6" s="34" t="n">
        <v>0</v>
      </c>
      <c r="R6" s="11" t="n">
        <f aca="false">IFERROR(SUMPRODUCT(ISNUMBER(SEARCH(Forecast!$B$33:$B$37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*Forecast!$D$33:$L$37)/SUMPRODUCT(ISNUMBER(SEARCH(Forecast!$B$33:$B$37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),0)</f>
        <v>0.383333333333333</v>
      </c>
      <c r="S6" s="11" t="n">
        <f aca="false">SUMPRODUCT(MAX(ISNUMBER(SEARCH(Forecast!$B$33:$B$37,$B6))*(Forecast!$D$3:$L$3&lt;($D6*24))*(Forecast!$D$3:$L$3+1&gt;($C6*24))*Forecast!$D$33:$L$37))</f>
        <v>0.8</v>
      </c>
      <c r="T6" s="26" t="str">
        <f aca="false">IF(AND(R6&lt;=Assumptions!$B$15,S6&lt;=Assumptions!$B$16),"Open",IF(R6&lt;=Assumptions!$B$17,"Check first","Conflict"))</f>
        <v>Conflict</v>
      </c>
      <c r="U6" s="34" t="n">
        <v>0</v>
      </c>
      <c r="V6" s="11" t="n">
        <f aca="false">IFERROR(SUMPRODUCT(ISNUMBER(SEARCH('Current Fall Actual'!$B$5:$B$9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*'Current Fall Actual'!$D$5:$L$9)/SUMPRODUCT(ISNUMBER(SEARCH('Current Fall Actual'!$B$5:$B$9,$B6))*(((((($D6*24)+Forecast!$D$3:$L$3+1-ABS(($D6*24)-Forecast!$D$3:$L$3-1))/2)-((($C6*24)+Forecast!$D$3:$L$3+ABS(($C6*24)-Forecast!$D$3:$L$3))/2))+ABS((((($D6*24)+Forecast!$D$3:$L$3+1-ABS(($D6*24)-Forecast!$D$3:$L$3-1))/2)-((($C6*24)+Forecast!$D$3:$L$3+ABS(($C6*24)-Forecast!$D$3:$L$3))/2))))/2)),0)</f>
        <v>0.333333333333333</v>
      </c>
      <c r="W6" s="11" t="n">
        <f aca="false">SUMPRODUCT(MAX(ISNUMBER(SEARCH('Current Fall Actual'!$B$5:$B$9,$B6))*(Forecast!$D$3:$L$3&lt;($D6*24))*(Forecast!$D$3:$L$3+1&gt;($C6*24))*'Current Fall Actual'!$D$5:$L$9))</f>
        <v>1</v>
      </c>
    </row>
    <row r="7" customFormat="false" ht="15" hidden="false" customHeight="false" outlineLevel="0" collapsed="false">
      <c r="A7" s="32" t="s">
        <v>186</v>
      </c>
      <c r="B7" s="32" t="s">
        <v>187</v>
      </c>
      <c r="C7" s="33" t="n">
        <v>0.4375</v>
      </c>
      <c r="D7" s="33" t="n">
        <v>0.472222222222222</v>
      </c>
      <c r="E7" s="10" t="n">
        <f aca="false">(LEN(B7)-LEN(SUBSTITUTE(B7,",",""))+1)*(MIN(D7,17/24)-MAX(C7,8/24))*24</f>
        <v>2.5</v>
      </c>
      <c r="F7" s="11" t="n">
        <f aca="false">IFERROR(SUMPRODUCT(ISNUMBER(SEARCH(Forecast!$B$6:$B$10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*Forecast!$D$6:$L$10)/SUMPRODUCT(ISNUMBER(SEARCH(Forecast!$B$6:$B$10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),0)</f>
        <v>0.459999999999999</v>
      </c>
      <c r="G7" s="11" t="n">
        <f aca="false">SUMPRODUCT(MAX(ISNUMBER(SEARCH(Forecast!$B$6:$B$10,$B7))*(Forecast!$D$3:$L$3&lt;($D7*24))*(Forecast!$D$3:$L$3+1&gt;($C7*24))*Forecast!$D$6:$L$10))</f>
        <v>0.849999999999999</v>
      </c>
      <c r="H7" s="26" t="str">
        <f aca="false">IF(AND(F7&lt;=Assumptions!$B$15,G7&lt;=Assumptions!$B$16),"Open",IF(F7&lt;=Assumptions!$B$17,"Check first","Conflict"))</f>
        <v>Conflict</v>
      </c>
      <c r="I7" s="34" t="n">
        <v>0</v>
      </c>
      <c r="J7" s="11" t="n">
        <f aca="false">IFERROR(SUMPRODUCT(ISNUMBER(SEARCH(Forecast!$B$15:$B$19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*Forecast!$D$15:$L$19)/SUMPRODUCT(ISNUMBER(SEARCH(Forecast!$B$15:$B$19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),0)</f>
        <v>0.3</v>
      </c>
      <c r="K7" s="11" t="n">
        <f aca="false">SUMPRODUCT(MAX(ISNUMBER(SEARCH(Forecast!$B$15:$B$19,$B7))*(Forecast!$D$3:$L$3&lt;($D7*24))*(Forecast!$D$3:$L$3+1&gt;($C7*24))*Forecast!$D$15:$L$19))</f>
        <v>0.499999999999999</v>
      </c>
      <c r="L7" s="26" t="str">
        <f aca="false">IF(AND(J7&lt;=Assumptions!$B$15,K7&lt;=Assumptions!$B$16),"Open",IF(J7&lt;=Assumptions!$B$17,"Check first","Conflict"))</f>
        <v>Check first</v>
      </c>
      <c r="M7" s="34" t="n">
        <v>0</v>
      </c>
      <c r="N7" s="11" t="n">
        <f aca="false">IFERROR(SUMPRODUCT(ISNUMBER(SEARCH(Forecast!$B$24:$B$28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*Forecast!$D$24:$L$28)/SUMPRODUCT(ISNUMBER(SEARCH(Forecast!$B$24:$B$28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),0)</f>
        <v>0.366666666666666</v>
      </c>
      <c r="O7" s="11" t="n">
        <f aca="false">SUMPRODUCT(MAX(ISNUMBER(SEARCH(Forecast!$B$24:$B$28,$B7))*(Forecast!$D$3:$L$3&lt;($D7*24))*(Forecast!$D$3:$L$3+1&gt;($C7*24))*Forecast!$D$24:$L$28))</f>
        <v>0.799999999999998</v>
      </c>
      <c r="P7" s="26" t="str">
        <f aca="false">IF(AND(N7&lt;=Assumptions!$B$15,O7&lt;=Assumptions!$B$16),"Open",IF(N7&lt;=Assumptions!$B$17,"Check first","Conflict"))</f>
        <v>Conflict</v>
      </c>
      <c r="Q7" s="34" t="n">
        <v>0</v>
      </c>
      <c r="R7" s="11" t="n">
        <f aca="false">IFERROR(SUMPRODUCT(ISNUMBER(SEARCH(Forecast!$B$33:$B$37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*Forecast!$D$33:$L$37)/SUMPRODUCT(ISNUMBER(SEARCH(Forecast!$B$33:$B$37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),0)</f>
        <v>0.373333333333333</v>
      </c>
      <c r="S7" s="11" t="n">
        <f aca="false">SUMPRODUCT(MAX(ISNUMBER(SEARCH(Forecast!$B$33:$B$37,$B7))*(Forecast!$D$3:$L$3&lt;($D7*24))*(Forecast!$D$3:$L$3+1&gt;($C7*24))*Forecast!$D$33:$L$37))</f>
        <v>0.799999999999998</v>
      </c>
      <c r="T7" s="26" t="str">
        <f aca="false">IF(AND(R7&lt;=Assumptions!$B$15,S7&lt;=Assumptions!$B$16),"Open",IF(R7&lt;=Assumptions!$B$17,"Check first","Conflict"))</f>
        <v>Conflict</v>
      </c>
      <c r="U7" s="34" t="n">
        <v>0</v>
      </c>
      <c r="V7" s="11" t="n">
        <f aca="false">IFERROR(SUMPRODUCT(ISNUMBER(SEARCH('Current Fall Actual'!$B$5:$B$9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*'Current Fall Actual'!$D$5:$L$9)/SUMPRODUCT(ISNUMBER(SEARCH('Current Fall Actual'!$B$5:$B$9,$B7))*(((((($D7*24)+Forecast!$D$3:$L$3+1-ABS(($D7*24)-Forecast!$D$3:$L$3-1))/2)-((($C7*24)+Forecast!$D$3:$L$3+ABS(($C7*24)-Forecast!$D$3:$L$3))/2))+ABS((((($D7*24)+Forecast!$D$3:$L$3+1-ABS(($D7*24)-Forecast!$D$3:$L$3-1))/2)-((($C7*24)+Forecast!$D$3:$L$3+ABS(($C7*24)-Forecast!$D$3:$L$3))/2))))/2)),0)</f>
        <v>0.266666666666666</v>
      </c>
      <c r="W7" s="11" t="n">
        <f aca="false">SUMPRODUCT(MAX(ISNUMBER(SEARCH('Current Fall Actual'!$B$5:$B$9,$B7))*(Forecast!$D$3:$L$3&lt;($D7*24))*(Forecast!$D$3:$L$3+1&gt;($C7*24))*'Current Fall Actual'!$D$5:$L$9))</f>
        <v>0.999999999999998</v>
      </c>
    </row>
    <row r="8" customFormat="false" ht="15" hidden="false" customHeight="false" outlineLevel="0" collapsed="false">
      <c r="A8" s="32" t="s">
        <v>186</v>
      </c>
      <c r="B8" s="32" t="s">
        <v>187</v>
      </c>
      <c r="C8" s="33" t="n">
        <v>0.479166666666667</v>
      </c>
      <c r="D8" s="33" t="n">
        <v>0.513888888888889</v>
      </c>
      <c r="E8" s="10" t="n">
        <f aca="false">(LEN(B8)-LEN(SUBSTITUTE(B8,",",""))+1)*(MIN(D8,17/24)-MAX(C8,8/24))*24</f>
        <v>2.5</v>
      </c>
      <c r="F8" s="11" t="n">
        <f aca="false">IFERROR(SUMPRODUCT(ISNUMBER(SEARCH(Forecast!$B$6:$B$10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*Forecast!$D$6:$L$10)/SUMPRODUCT(ISNUMBER(SEARCH(Forecast!$B$6:$B$10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),0)</f>
        <v>0.525000000000001</v>
      </c>
      <c r="G8" s="11" t="n">
        <f aca="false">SUMPRODUCT(MAX(ISNUMBER(SEARCH(Forecast!$B$6:$B$10,$B8))*(Forecast!$D$3:$L$3&lt;($D8*24))*(Forecast!$D$3:$L$3+1&gt;($C8*24))*Forecast!$D$6:$L$10))</f>
        <v>0.999999999999997</v>
      </c>
      <c r="H8" s="26" t="str">
        <f aca="false">IF(AND(F8&lt;=Assumptions!$B$15,G8&lt;=Assumptions!$B$16),"Open",IF(F8&lt;=Assumptions!$B$17,"Check first","Conflict"))</f>
        <v>Conflict</v>
      </c>
      <c r="I8" s="34" t="n">
        <v>0</v>
      </c>
      <c r="J8" s="11" t="n">
        <f aca="false">IFERROR(SUMPRODUCT(ISNUMBER(SEARCH(Forecast!$B$15:$B$19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*Forecast!$D$15:$L$19)/SUMPRODUCT(ISNUMBER(SEARCH(Forecast!$B$15:$B$19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),0)</f>
        <v>0.441666666666667</v>
      </c>
      <c r="K8" s="11" t="n">
        <f aca="false">SUMPRODUCT(MAX(ISNUMBER(SEARCH(Forecast!$B$15:$B$19,$B8))*(Forecast!$D$3:$L$3&lt;($D8*24))*(Forecast!$D$3:$L$3+1&gt;($C8*24))*Forecast!$D$15:$L$19))</f>
        <v>0.799999999999998</v>
      </c>
      <c r="L8" s="26" t="str">
        <f aca="false">IF(AND(J8&lt;=Assumptions!$B$15,K8&lt;=Assumptions!$B$16),"Open",IF(J8&lt;=Assumptions!$B$17,"Check first","Conflict"))</f>
        <v>Conflict</v>
      </c>
      <c r="M8" s="34" t="n">
        <v>0</v>
      </c>
      <c r="N8" s="11" t="n">
        <f aca="false">IFERROR(SUMPRODUCT(ISNUMBER(SEARCH(Forecast!$B$24:$B$28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*Forecast!$D$24:$L$28)/SUMPRODUCT(ISNUMBER(SEARCH(Forecast!$B$24:$B$28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),0)</f>
        <v>0.426666666666667</v>
      </c>
      <c r="O8" s="11" t="n">
        <f aca="false">SUMPRODUCT(MAX(ISNUMBER(SEARCH(Forecast!$B$24:$B$28,$B8))*(Forecast!$D$3:$L$3&lt;($D8*24))*(Forecast!$D$3:$L$3+1&gt;($C8*24))*Forecast!$D$24:$L$28))</f>
        <v>0.999999999999999</v>
      </c>
      <c r="P8" s="26" t="str">
        <f aca="false">IF(AND(N8&lt;=Assumptions!$B$15,O8&lt;=Assumptions!$B$16),"Open",IF(N8&lt;=Assumptions!$B$17,"Check first","Conflict"))</f>
        <v>Conflict</v>
      </c>
      <c r="Q8" s="34" t="n">
        <v>0</v>
      </c>
      <c r="R8" s="11" t="n">
        <f aca="false">IFERROR(SUMPRODUCT(ISNUMBER(SEARCH(Forecast!$B$33:$B$37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*Forecast!$D$33:$L$37)/SUMPRODUCT(ISNUMBER(SEARCH(Forecast!$B$33:$B$37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),0)</f>
        <v>0.310000000000001</v>
      </c>
      <c r="S8" s="11" t="n">
        <f aca="false">SUMPRODUCT(MAX(ISNUMBER(SEARCH(Forecast!$B$33:$B$37,$B8))*(Forecast!$D$3:$L$3&lt;($D8*24))*(Forecast!$D$3:$L$3+1&gt;($C8*24))*Forecast!$D$33:$L$37))</f>
        <v>0.55</v>
      </c>
      <c r="T8" s="26" t="str">
        <f aca="false">IF(AND(R8&lt;=Assumptions!$B$15,S8&lt;=Assumptions!$B$16),"Open",IF(R8&lt;=Assumptions!$B$17,"Check first","Conflict"))</f>
        <v>Check first</v>
      </c>
      <c r="U8" s="34" t="n">
        <v>0</v>
      </c>
      <c r="V8" s="11" t="n">
        <f aca="false">IFERROR(SUMPRODUCT(ISNUMBER(SEARCH('Current Fall Actual'!$B$5:$B$9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*'Current Fall Actual'!$D$5:$L$9)/SUMPRODUCT(ISNUMBER(SEARCH('Current Fall Actual'!$B$5:$B$9,$B8))*(((((($D8*24)+Forecast!$D$3:$L$3+1-ABS(($D8*24)-Forecast!$D$3:$L$3-1))/2)-((($C8*24)+Forecast!$D$3:$L$3+ABS(($C8*24)-Forecast!$D$3:$L$3))/2))+ABS((((($D8*24)+Forecast!$D$3:$L$3+1-ABS(($D8*24)-Forecast!$D$3:$L$3-1))/2)-((($C8*24)+Forecast!$D$3:$L$3+ABS(($C8*24)-Forecast!$D$3:$L$3))/2))))/2)),0)</f>
        <v>0.333333333333335</v>
      </c>
      <c r="W8" s="11" t="n">
        <f aca="false">SUMPRODUCT(MAX(ISNUMBER(SEARCH('Current Fall Actual'!$B$5:$B$9,$B8))*(Forecast!$D$3:$L$3&lt;($D8*24))*(Forecast!$D$3:$L$3+1&gt;($C8*24))*'Current Fall Actual'!$D$5:$L$9))</f>
        <v>0.999999999999996</v>
      </c>
    </row>
    <row r="9" customFormat="false" ht="15" hidden="false" customHeight="false" outlineLevel="0" collapsed="false">
      <c r="A9" s="32" t="s">
        <v>186</v>
      </c>
      <c r="B9" s="32" t="s">
        <v>187</v>
      </c>
      <c r="C9" s="33" t="n">
        <v>0.520833333333333</v>
      </c>
      <c r="D9" s="33" t="n">
        <v>0.555555555555556</v>
      </c>
      <c r="E9" s="10" t="n">
        <f aca="false">(LEN(B9)-LEN(SUBSTITUTE(B9,",",""))+1)*(MIN(D9,17/24)-MAX(C9,8/24))*24</f>
        <v>2.5</v>
      </c>
      <c r="F9" s="11" t="n">
        <f aca="false">IFERROR(SUMPRODUCT(ISNUMBER(SEARCH(Forecast!$B$6:$B$10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*Forecast!$D$6:$L$10)/SUMPRODUCT(ISNUMBER(SEARCH(Forecast!$B$6:$B$10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),0)</f>
        <v>0.663333333333332</v>
      </c>
      <c r="G9" s="11" t="n">
        <f aca="false">SUMPRODUCT(MAX(ISNUMBER(SEARCH(Forecast!$B$6:$B$10,$B9))*(Forecast!$D$3:$L$3&lt;($D9*24))*(Forecast!$D$3:$L$3+1&gt;($C9*24))*Forecast!$D$6:$L$10))</f>
        <v>0.999999999999997</v>
      </c>
      <c r="H9" s="26" t="str">
        <f aca="false">IF(AND(F9&lt;=Assumptions!$B$15,G9&lt;=Assumptions!$B$16),"Open",IF(F9&lt;=Assumptions!$B$17,"Check first","Conflict"))</f>
        <v>Conflict</v>
      </c>
      <c r="I9" s="34" t="n">
        <v>0</v>
      </c>
      <c r="J9" s="11" t="n">
        <f aca="false">IFERROR(SUMPRODUCT(ISNUMBER(SEARCH(Forecast!$B$15:$B$19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*Forecast!$D$15:$L$19)/SUMPRODUCT(ISNUMBER(SEARCH(Forecast!$B$15:$B$19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),0)</f>
        <v>0.676666666666666</v>
      </c>
      <c r="K9" s="11" t="n">
        <f aca="false">SUMPRODUCT(MAX(ISNUMBER(SEARCH(Forecast!$B$15:$B$19,$B9))*(Forecast!$D$3:$L$3&lt;($D9*24))*(Forecast!$D$3:$L$3+1&gt;($C9*24))*Forecast!$D$15:$L$19))</f>
        <v>0.799999999999998</v>
      </c>
      <c r="L9" s="26" t="str">
        <f aca="false">IF(AND(J9&lt;=Assumptions!$B$15,K9&lt;=Assumptions!$B$16),"Open",IF(J9&lt;=Assumptions!$B$17,"Check first","Conflict"))</f>
        <v>Conflict</v>
      </c>
      <c r="M9" s="34" t="n">
        <v>0</v>
      </c>
      <c r="N9" s="11" t="n">
        <f aca="false">IFERROR(SUMPRODUCT(ISNUMBER(SEARCH(Forecast!$B$24:$B$28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*Forecast!$D$24:$L$28)/SUMPRODUCT(ISNUMBER(SEARCH(Forecast!$B$24:$B$28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),0)</f>
        <v>0.516666666666666</v>
      </c>
      <c r="O9" s="11" t="n">
        <f aca="false">SUMPRODUCT(MAX(ISNUMBER(SEARCH(Forecast!$B$24:$B$28,$B9))*(Forecast!$D$3:$L$3&lt;($D9*24))*(Forecast!$D$3:$L$3+1&gt;($C9*24))*Forecast!$D$24:$L$28))</f>
        <v>0.999999999999999</v>
      </c>
      <c r="P9" s="26" t="str">
        <f aca="false">IF(AND(N9&lt;=Assumptions!$B$15,O9&lt;=Assumptions!$B$16),"Open",IF(N9&lt;=Assumptions!$B$17,"Check first","Conflict"))</f>
        <v>Conflict</v>
      </c>
      <c r="Q9" s="34" t="n">
        <v>0</v>
      </c>
      <c r="R9" s="11" t="n">
        <f aca="false">IFERROR(SUMPRODUCT(ISNUMBER(SEARCH(Forecast!$B$33:$B$37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*Forecast!$D$33:$L$37)/SUMPRODUCT(ISNUMBER(SEARCH(Forecast!$B$33:$B$37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),0)</f>
        <v>0.303333333333333</v>
      </c>
      <c r="S9" s="11" t="n">
        <f aca="false">SUMPRODUCT(MAX(ISNUMBER(SEARCH(Forecast!$B$33:$B$37,$B9))*(Forecast!$D$3:$L$3&lt;($D9*24))*(Forecast!$D$3:$L$3+1&gt;($C9*24))*Forecast!$D$33:$L$37))</f>
        <v>0.55</v>
      </c>
      <c r="T9" s="26" t="str">
        <f aca="false">IF(AND(R9&lt;=Assumptions!$B$15,S9&lt;=Assumptions!$B$16),"Open",IF(R9&lt;=Assumptions!$B$17,"Check first","Conflict"))</f>
        <v>Check first</v>
      </c>
      <c r="U9" s="34" t="n">
        <v>1</v>
      </c>
      <c r="V9" s="11" t="n">
        <f aca="false">IFERROR(SUMPRODUCT(ISNUMBER(SEARCH('Current Fall Actual'!$B$5:$B$9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*'Current Fall Actual'!$D$5:$L$9)/SUMPRODUCT(ISNUMBER(SEARCH('Current Fall Actual'!$B$5:$B$9,$B9))*(((((($D9*24)+Forecast!$D$3:$L$3+1-ABS(($D9*24)-Forecast!$D$3:$L$3-1))/2)-((($C9*24)+Forecast!$D$3:$L$3+ABS(($C9*24)-Forecast!$D$3:$L$3))/2))+ABS((((($D9*24)+Forecast!$D$3:$L$3+1-ABS(($D9*24)-Forecast!$D$3:$L$3-1))/2)-((($C9*24)+Forecast!$D$3:$L$3+ABS(($C9*24)-Forecast!$D$3:$L$3))/2))))/2)),0)</f>
        <v>0.616666666666667</v>
      </c>
      <c r="W9" s="11" t="n">
        <f aca="false">SUMPRODUCT(MAX(ISNUMBER(SEARCH('Current Fall Actual'!$B$5:$B$9,$B9))*(Forecast!$D$3:$L$3&lt;($D9*24))*(Forecast!$D$3:$L$3+1&gt;($C9*24))*'Current Fall Actual'!$D$5:$L$9))</f>
        <v>1</v>
      </c>
    </row>
    <row r="10" customFormat="false" ht="15" hidden="false" customHeight="false" outlineLevel="0" collapsed="false">
      <c r="A10" s="32" t="s">
        <v>186</v>
      </c>
      <c r="B10" s="32" t="s">
        <v>187</v>
      </c>
      <c r="C10" s="33" t="n">
        <v>0.5625</v>
      </c>
      <c r="D10" s="33" t="n">
        <v>0.597222222222222</v>
      </c>
      <c r="E10" s="10" t="n">
        <f aca="false">(LEN(B10)-LEN(SUBSTITUTE(B10,",",""))+1)*(MIN(D10,17/24)-MAX(C10,8/24))*24</f>
        <v>2.5</v>
      </c>
      <c r="F10" s="11" t="n">
        <f aca="false">IFERROR(SUMPRODUCT(ISNUMBER(SEARCH(Forecast!$B$6:$B$10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*Forecast!$D$6:$L$10)/SUMPRODUCT(ISNUMBER(SEARCH(Forecast!$B$6:$B$10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),0)</f>
        <v>0.211666666666668</v>
      </c>
      <c r="G10" s="11" t="n">
        <f aca="false">SUMPRODUCT(MAX(ISNUMBER(SEARCH(Forecast!$B$6:$B$10,$B10))*(Forecast!$D$3:$L$3&lt;($D10*24))*(Forecast!$D$3:$L$3+1&gt;($C10*24))*Forecast!$D$6:$L$10))</f>
        <v>0.500000000000002</v>
      </c>
      <c r="H10" s="26" t="str">
        <f aca="false">IF(AND(F10&lt;=Assumptions!$B$15,G10&lt;=Assumptions!$B$16),"Open",IF(F10&lt;=Assumptions!$B$17,"Check first","Conflict"))</f>
        <v>Check first</v>
      </c>
      <c r="I10" s="34" t="n">
        <v>1</v>
      </c>
      <c r="J10" s="11" t="n">
        <f aca="false">IFERROR(SUMPRODUCT(ISNUMBER(SEARCH(Forecast!$B$15:$B$19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*Forecast!$D$15:$L$19)/SUMPRODUCT(ISNUMBER(SEARCH(Forecast!$B$15:$B$19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),0)</f>
        <v>0.476111111111112</v>
      </c>
      <c r="K10" s="11" t="n">
        <f aca="false">SUMPRODUCT(MAX(ISNUMBER(SEARCH(Forecast!$B$15:$B$19,$B10))*(Forecast!$D$3:$L$3&lt;($D10*24))*(Forecast!$D$3:$L$3+1&gt;($C10*24))*Forecast!$D$15:$L$19))</f>
        <v>0.575000000000002</v>
      </c>
      <c r="L10" s="26" t="str">
        <f aca="false">IF(AND(J10&lt;=Assumptions!$B$15,K10&lt;=Assumptions!$B$16),"Open",IF(J10&lt;=Assumptions!$B$17,"Check first","Conflict"))</f>
        <v>Conflict</v>
      </c>
      <c r="M10" s="34" t="n">
        <v>0</v>
      </c>
      <c r="N10" s="11" t="n">
        <f aca="false">IFERROR(SUMPRODUCT(ISNUMBER(SEARCH(Forecast!$B$24:$B$28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*Forecast!$D$24:$L$28)/SUMPRODUCT(ISNUMBER(SEARCH(Forecast!$B$24:$B$28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),0)</f>
        <v>0.235</v>
      </c>
      <c r="O10" s="11" t="n">
        <f aca="false">SUMPRODUCT(MAX(ISNUMBER(SEARCH(Forecast!$B$24:$B$28,$B10))*(Forecast!$D$3:$L$3&lt;($D10*24))*(Forecast!$D$3:$L$3+1&gt;($C10*24))*Forecast!$D$24:$L$28))</f>
        <v>0.625000000000002</v>
      </c>
      <c r="P10" s="26" t="str">
        <f aca="false">IF(AND(N10&lt;=Assumptions!$B$15,O10&lt;=Assumptions!$B$16),"Open",IF(N10&lt;=Assumptions!$B$17,"Check first","Conflict"))</f>
        <v>Check first</v>
      </c>
      <c r="Q10" s="34" t="n">
        <v>1</v>
      </c>
      <c r="R10" s="11" t="n">
        <f aca="false">IFERROR(SUMPRODUCT(ISNUMBER(SEARCH(Forecast!$B$33:$B$37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*Forecast!$D$33:$L$37)/SUMPRODUCT(ISNUMBER(SEARCH(Forecast!$B$33:$B$37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),0)</f>
        <v>0.173333333333333</v>
      </c>
      <c r="S10" s="11" t="n">
        <f aca="false">SUMPRODUCT(MAX(ISNUMBER(SEARCH(Forecast!$B$33:$B$37,$B10))*(Forecast!$D$3:$L$3&lt;($D10*24))*(Forecast!$D$3:$L$3+1&gt;($C10*24))*Forecast!$D$33:$L$37))</f>
        <v>0.3</v>
      </c>
      <c r="T10" s="26" t="str">
        <f aca="false">IF(AND(R10&lt;=Assumptions!$B$15,S10&lt;=Assumptions!$B$16),"Open",IF(R10&lt;=Assumptions!$B$17,"Check first","Conflict"))</f>
        <v>Open</v>
      </c>
      <c r="U10" s="34" t="n">
        <v>0</v>
      </c>
      <c r="V10" s="11" t="n">
        <f aca="false">IFERROR(SUMPRODUCT(ISNUMBER(SEARCH('Current Fall Actual'!$B$5:$B$9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*'Current Fall Actual'!$D$5:$L$9)/SUMPRODUCT(ISNUMBER(SEARCH('Current Fall Actual'!$B$5:$B$9,$B10))*(((((($D10*24)+Forecast!$D$3:$L$3+1-ABS(($D10*24)-Forecast!$D$3:$L$3-1))/2)-((($C10*24)+Forecast!$D$3:$L$3+ABS(($C10*24)-Forecast!$D$3:$L$3))/2))+ABS((((($D10*24)+Forecast!$D$3:$L$3+1-ABS(($D10*24)-Forecast!$D$3:$L$3-1))/2)-((($C10*24)+Forecast!$D$3:$L$3+ABS(($C10*24)-Forecast!$D$3:$L$3))/2))))/2)),0)</f>
        <v>0.544444444444446</v>
      </c>
      <c r="W10" s="11" t="n">
        <f aca="false">SUMPRODUCT(MAX(ISNUMBER(SEARCH('Current Fall Actual'!$B$5:$B$9,$B10))*(Forecast!$D$3:$L$3&lt;($D10*24))*(Forecast!$D$3:$L$3+1&gt;($C10*24))*'Current Fall Actual'!$D$5:$L$9))</f>
        <v>1</v>
      </c>
    </row>
    <row r="11" customFormat="false" ht="15" hidden="false" customHeight="false" outlineLevel="0" collapsed="false">
      <c r="A11" s="32" t="s">
        <v>186</v>
      </c>
      <c r="B11" s="32" t="s">
        <v>187</v>
      </c>
      <c r="C11" s="33" t="n">
        <v>0.604166666666667</v>
      </c>
      <c r="D11" s="33" t="n">
        <v>0.638888888888889</v>
      </c>
      <c r="E11" s="10" t="n">
        <f aca="false">(LEN(B11)-LEN(SUBSTITUTE(B11,",",""))+1)*(MIN(D11,17/24)-MAX(C11,8/24))*24</f>
        <v>2.5</v>
      </c>
      <c r="F11" s="11" t="n">
        <f aca="false">IFERROR(SUMPRODUCT(ISNUMBER(SEARCH(Forecast!$B$6:$B$10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*Forecast!$D$6:$L$10)/SUMPRODUCT(ISNUMBER(SEARCH(Forecast!$B$6:$B$10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),0)</f>
        <v>0.266666666666666</v>
      </c>
      <c r="G11" s="11" t="n">
        <f aca="false">SUMPRODUCT(MAX(ISNUMBER(SEARCH(Forecast!$B$6:$B$10,$B11))*(Forecast!$D$3:$L$3&lt;($D11*24))*(Forecast!$D$3:$L$3+1&gt;($C11*24))*Forecast!$D$6:$L$10))</f>
        <v>0.749999999999997</v>
      </c>
      <c r="H11" s="26" t="str">
        <f aca="false">IF(AND(F11&lt;=Assumptions!$B$15,G11&lt;=Assumptions!$B$16),"Open",IF(F11&lt;=Assumptions!$B$17,"Check first","Conflict"))</f>
        <v>Check first</v>
      </c>
      <c r="I11" s="34" t="n">
        <v>1</v>
      </c>
      <c r="J11" s="11" t="n">
        <f aca="false">IFERROR(SUMPRODUCT(ISNUMBER(SEARCH(Forecast!$B$15:$B$19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*Forecast!$D$15:$L$19)/SUMPRODUCT(ISNUMBER(SEARCH(Forecast!$B$15:$B$19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),0)</f>
        <v>0.426666666666665</v>
      </c>
      <c r="K11" s="11" t="n">
        <f aca="false">SUMPRODUCT(MAX(ISNUMBER(SEARCH(Forecast!$B$15:$B$19,$B11))*(Forecast!$D$3:$L$3&lt;($D11*24))*(Forecast!$D$3:$L$3+1&gt;($C11*24))*Forecast!$D$15:$L$19))</f>
        <v>0.749999999999997</v>
      </c>
      <c r="L11" s="26" t="str">
        <f aca="false">IF(AND(J11&lt;=Assumptions!$B$15,K11&lt;=Assumptions!$B$16),"Open",IF(J11&lt;=Assumptions!$B$17,"Check first","Conflict"))</f>
        <v>Conflict</v>
      </c>
      <c r="M11" s="34" t="n">
        <v>0</v>
      </c>
      <c r="N11" s="11" t="n">
        <f aca="false">IFERROR(SUMPRODUCT(ISNUMBER(SEARCH(Forecast!$B$24:$B$28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*Forecast!$D$24:$L$28)/SUMPRODUCT(ISNUMBER(SEARCH(Forecast!$B$24:$B$28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),0)</f>
        <v>0.289999999999999</v>
      </c>
      <c r="O11" s="11" t="n">
        <f aca="false">SUMPRODUCT(MAX(ISNUMBER(SEARCH(Forecast!$B$24:$B$28,$B11))*(Forecast!$D$3:$L$3&lt;($D11*24))*(Forecast!$D$3:$L$3+1&gt;($C11*24))*Forecast!$D$24:$L$28))</f>
        <v>0.749999999999997</v>
      </c>
      <c r="P11" s="26" t="str">
        <f aca="false">IF(AND(N11&lt;=Assumptions!$B$15,O11&lt;=Assumptions!$B$16),"Open",IF(N11&lt;=Assumptions!$B$17,"Check first","Conflict"))</f>
        <v>Check first</v>
      </c>
      <c r="Q11" s="34" t="n">
        <v>1</v>
      </c>
      <c r="R11" s="11" t="n">
        <f aca="false">IFERROR(SUMPRODUCT(ISNUMBER(SEARCH(Forecast!$B$33:$B$37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*Forecast!$D$33:$L$37)/SUMPRODUCT(ISNUMBER(SEARCH(Forecast!$B$33:$B$37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),0)</f>
        <v>0.163333333333333</v>
      </c>
      <c r="S11" s="11" t="n">
        <f aca="false">SUMPRODUCT(MAX(ISNUMBER(SEARCH(Forecast!$B$33:$B$37,$B11))*(Forecast!$D$3:$L$3&lt;($D11*24))*(Forecast!$D$3:$L$3+1&gt;($C11*24))*Forecast!$D$33:$L$37))</f>
        <v>0.399999999999996</v>
      </c>
      <c r="T11" s="26" t="str">
        <f aca="false">IF(AND(R11&lt;=Assumptions!$B$15,S11&lt;=Assumptions!$B$16),"Open",IF(R11&lt;=Assumptions!$B$17,"Check first","Conflict"))</f>
        <v>Open</v>
      </c>
      <c r="U11" s="34" t="n">
        <v>0</v>
      </c>
      <c r="V11" s="11" t="n">
        <f aca="false">IFERROR(SUMPRODUCT(ISNUMBER(SEARCH('Current Fall Actual'!$B$5:$B$9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*'Current Fall Actual'!$D$5:$L$9)/SUMPRODUCT(ISNUMBER(SEARCH('Current Fall Actual'!$B$5:$B$9,$B11))*(((((($D11*24)+Forecast!$D$3:$L$3+1-ABS(($D11*24)-Forecast!$D$3:$L$3-1))/2)-((($C11*24)+Forecast!$D$3:$L$3+ABS(($C11*24)-Forecast!$D$3:$L$3))/2))+ABS((((($D11*24)+Forecast!$D$3:$L$3+1-ABS(($D11*24)-Forecast!$D$3:$L$3-1))/2)-((($C11*24)+Forecast!$D$3:$L$3+ABS(($C11*24)-Forecast!$D$3:$L$3))/2))))/2)),0)</f>
        <v>0.283333333333332</v>
      </c>
      <c r="W11" s="11" t="n">
        <f aca="false">SUMPRODUCT(MAX(ISNUMBER(SEARCH('Current Fall Actual'!$B$5:$B$9,$B11))*(Forecast!$D$3:$L$3&lt;($D11*24))*(Forecast!$D$3:$L$3+1&gt;($C11*24))*'Current Fall Actual'!$D$5:$L$9))</f>
        <v>0.999999999999999</v>
      </c>
    </row>
    <row r="12" customFormat="false" ht="15" hidden="false" customHeight="false" outlineLevel="0" collapsed="false">
      <c r="A12" s="32" t="s">
        <v>186</v>
      </c>
      <c r="B12" s="32" t="s">
        <v>187</v>
      </c>
      <c r="C12" s="33" t="n">
        <v>0.645833333333333</v>
      </c>
      <c r="D12" s="33" t="n">
        <v>0.680555555555556</v>
      </c>
      <c r="E12" s="10" t="n">
        <f aca="false">(LEN(B12)-LEN(SUBSTITUTE(B12,",",""))+1)*(MIN(D12,17/24)-MAX(C12,8/24))*24</f>
        <v>2.5</v>
      </c>
      <c r="F12" s="11" t="n">
        <f aca="false">IFERROR(SUMPRODUCT(ISNUMBER(SEARCH(Forecast!$B$6:$B$10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*Forecast!$D$6:$L$10)/SUMPRODUCT(ISNUMBER(SEARCH(Forecast!$B$6:$B$10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),0)</f>
        <v>0.699999999999997</v>
      </c>
      <c r="G12" s="11" t="n">
        <f aca="false">SUMPRODUCT(MAX(ISNUMBER(SEARCH(Forecast!$B$6:$B$10,$B12))*(Forecast!$D$3:$L$3&lt;($D12*24))*(Forecast!$D$3:$L$3+1&gt;($C12*24))*Forecast!$D$6:$L$10))</f>
        <v>1</v>
      </c>
      <c r="H12" s="26" t="str">
        <f aca="false">IF(AND(F12&lt;=Assumptions!$B$15,G12&lt;=Assumptions!$B$16),"Open",IF(F12&lt;=Assumptions!$B$17,"Check first","Conflict"))</f>
        <v>Conflict</v>
      </c>
      <c r="I12" s="34" t="n">
        <v>0</v>
      </c>
      <c r="J12" s="11" t="n">
        <f aca="false">IFERROR(SUMPRODUCT(ISNUMBER(SEARCH(Forecast!$B$15:$B$19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*Forecast!$D$15:$L$19)/SUMPRODUCT(ISNUMBER(SEARCH(Forecast!$B$15:$B$19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),0)</f>
        <v>0.633333333333331</v>
      </c>
      <c r="K12" s="11" t="n">
        <f aca="false">SUMPRODUCT(MAX(ISNUMBER(SEARCH(Forecast!$B$15:$B$19,$B12))*(Forecast!$D$3:$L$3&lt;($D12*24))*(Forecast!$D$3:$L$3+1&gt;($C12*24))*Forecast!$D$15:$L$19))</f>
        <v>1</v>
      </c>
      <c r="L12" s="26" t="str">
        <f aca="false">IF(AND(J12&lt;=Assumptions!$B$15,K12&lt;=Assumptions!$B$16),"Open",IF(J12&lt;=Assumptions!$B$17,"Check first","Conflict"))</f>
        <v>Conflict</v>
      </c>
      <c r="M12" s="34" t="n">
        <v>0</v>
      </c>
      <c r="N12" s="11" t="n">
        <f aca="false">IFERROR(SUMPRODUCT(ISNUMBER(SEARCH(Forecast!$B$24:$B$28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*Forecast!$D$24:$L$28)/SUMPRODUCT(ISNUMBER(SEARCH(Forecast!$B$24:$B$28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),0)</f>
        <v>0.633333333333331</v>
      </c>
      <c r="O12" s="11" t="n">
        <f aca="false">SUMPRODUCT(MAX(ISNUMBER(SEARCH(Forecast!$B$24:$B$28,$B12))*(Forecast!$D$3:$L$3&lt;($D12*24))*(Forecast!$D$3:$L$3+1&gt;($C12*24))*Forecast!$D$24:$L$28))</f>
        <v>1</v>
      </c>
      <c r="P12" s="26" t="str">
        <f aca="false">IF(AND(N12&lt;=Assumptions!$B$15,O12&lt;=Assumptions!$B$16),"Open",IF(N12&lt;=Assumptions!$B$17,"Check first","Conflict"))</f>
        <v>Conflict</v>
      </c>
      <c r="Q12" s="34" t="n">
        <v>0</v>
      </c>
      <c r="R12" s="11" t="n">
        <f aca="false">IFERROR(SUMPRODUCT(ISNUMBER(SEARCH(Forecast!$B$33:$B$37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*Forecast!$D$33:$L$37)/SUMPRODUCT(ISNUMBER(SEARCH(Forecast!$B$33:$B$37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),0)</f>
        <v>0.316666666666665</v>
      </c>
      <c r="S12" s="11" t="n">
        <f aca="false">SUMPRODUCT(MAX(ISNUMBER(SEARCH(Forecast!$B$33:$B$37,$B12))*(Forecast!$D$3:$L$3&lt;($D12*24))*(Forecast!$D$3:$L$3+1&gt;($C12*24))*Forecast!$D$33:$L$37))</f>
        <v>0.8</v>
      </c>
      <c r="T12" s="26" t="str">
        <f aca="false">IF(AND(R12&lt;=Assumptions!$B$15,S12&lt;=Assumptions!$B$16),"Open",IF(R12&lt;=Assumptions!$B$17,"Check first","Conflict"))</f>
        <v>Check first</v>
      </c>
      <c r="U12" s="34" t="n">
        <v>0</v>
      </c>
      <c r="V12" s="11" t="n">
        <f aca="false">IFERROR(SUMPRODUCT(ISNUMBER(SEARCH('Current Fall Actual'!$B$5:$B$9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*'Current Fall Actual'!$D$5:$L$9)/SUMPRODUCT(ISNUMBER(SEARCH('Current Fall Actual'!$B$5:$B$9,$B12))*(((((($D12*24)+Forecast!$D$3:$L$3+1-ABS(($D12*24)-Forecast!$D$3:$L$3-1))/2)-((($C12*24)+Forecast!$D$3:$L$3+ABS(($C12*24)-Forecast!$D$3:$L$3))/2))+ABS((((($D12*24)+Forecast!$D$3:$L$3+1-ABS(($D12*24)-Forecast!$D$3:$L$3-1))/2)-((($C12*24)+Forecast!$D$3:$L$3+ABS(($C12*24)-Forecast!$D$3:$L$3))/2))))/2)),0)</f>
        <v>0.233333333333332</v>
      </c>
      <c r="W12" s="11" t="n">
        <f aca="false">SUMPRODUCT(MAX(ISNUMBER(SEARCH('Current Fall Actual'!$B$5:$B$9,$B12))*(Forecast!$D$3:$L$3&lt;($D12*24))*(Forecast!$D$3:$L$3+1&gt;($C12*24))*'Current Fall Actual'!$D$5:$L$9))</f>
        <v>1</v>
      </c>
    </row>
    <row r="13" customFormat="false" ht="15" hidden="false" customHeight="false" outlineLevel="0" collapsed="false">
      <c r="A13" s="32" t="s">
        <v>186</v>
      </c>
      <c r="B13" s="32" t="s">
        <v>187</v>
      </c>
      <c r="C13" s="33" t="n">
        <v>0.6875</v>
      </c>
      <c r="D13" s="33" t="n">
        <v>0.722222222222222</v>
      </c>
      <c r="E13" s="10" t="n">
        <f aca="false">(LEN(B13)-LEN(SUBSTITUTE(B13,",",""))+1)*(MIN(D13,17/24)-MAX(C13,8/24))*24</f>
        <v>1.5</v>
      </c>
      <c r="F13" s="11" t="n">
        <f aca="false">IFERROR(SUMPRODUCT(ISNUMBER(SEARCH(Forecast!$B$6:$B$10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*Forecast!$D$6:$L$10)/SUMPRODUCT(ISNUMBER(SEARCH(Forecast!$B$6:$B$10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),0)</f>
        <v>0.9</v>
      </c>
      <c r="G13" s="11" t="n">
        <f aca="false">SUMPRODUCT(MAX(ISNUMBER(SEARCH(Forecast!$B$6:$B$10,$B13))*(Forecast!$D$3:$L$3&lt;($D13*24))*(Forecast!$D$3:$L$3+1&gt;($C13*24))*Forecast!$D$6:$L$10))</f>
        <v>1</v>
      </c>
      <c r="H13" s="26" t="str">
        <f aca="false">IF(AND(F13&lt;=Assumptions!$B$15,G13&lt;=Assumptions!$B$16),"Open",IF(F13&lt;=Assumptions!$B$17,"Check first","Conflict"))</f>
        <v>Conflict</v>
      </c>
      <c r="I13" s="34" t="n">
        <v>0</v>
      </c>
      <c r="J13" s="11" t="n">
        <f aca="false">IFERROR(SUMPRODUCT(ISNUMBER(SEARCH(Forecast!$B$15:$B$19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*Forecast!$D$15:$L$19)/SUMPRODUCT(ISNUMBER(SEARCH(Forecast!$B$15:$B$19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),0)</f>
        <v>0.833333333333333</v>
      </c>
      <c r="K13" s="11" t="n">
        <f aca="false">SUMPRODUCT(MAX(ISNUMBER(SEARCH(Forecast!$B$15:$B$19,$B13))*(Forecast!$D$3:$L$3&lt;($D13*24))*(Forecast!$D$3:$L$3+1&gt;($C13*24))*Forecast!$D$15:$L$19))</f>
        <v>1</v>
      </c>
      <c r="L13" s="26" t="str">
        <f aca="false">IF(AND(J13&lt;=Assumptions!$B$15,K13&lt;=Assumptions!$B$16),"Open",IF(J13&lt;=Assumptions!$B$17,"Check first","Conflict"))</f>
        <v>Conflict</v>
      </c>
      <c r="M13" s="34" t="n">
        <v>0</v>
      </c>
      <c r="N13" s="11" t="n">
        <f aca="false">IFERROR(SUMPRODUCT(ISNUMBER(SEARCH(Forecast!$B$24:$B$28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*Forecast!$D$24:$L$28)/SUMPRODUCT(ISNUMBER(SEARCH(Forecast!$B$24:$B$28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),0)</f>
        <v>0.833333333333333</v>
      </c>
      <c r="O13" s="11" t="n">
        <f aca="false">SUMPRODUCT(MAX(ISNUMBER(SEARCH(Forecast!$B$24:$B$28,$B13))*(Forecast!$D$3:$L$3&lt;($D13*24))*(Forecast!$D$3:$L$3+1&gt;($C13*24))*Forecast!$D$24:$L$28))</f>
        <v>1</v>
      </c>
      <c r="P13" s="26" t="str">
        <f aca="false">IF(AND(N13&lt;=Assumptions!$B$15,O13&lt;=Assumptions!$B$16),"Open",IF(N13&lt;=Assumptions!$B$17,"Check first","Conflict"))</f>
        <v>Conflict</v>
      </c>
      <c r="Q13" s="34" t="n">
        <v>0</v>
      </c>
      <c r="R13" s="11" t="n">
        <f aca="false">IFERROR(SUMPRODUCT(ISNUMBER(SEARCH(Forecast!$B$33:$B$37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*Forecast!$D$33:$L$37)/SUMPRODUCT(ISNUMBER(SEARCH(Forecast!$B$33:$B$37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),0)</f>
        <v>0.366666666666667</v>
      </c>
      <c r="S13" s="11" t="n">
        <f aca="false">SUMPRODUCT(MAX(ISNUMBER(SEARCH(Forecast!$B$33:$B$37,$B13))*(Forecast!$D$3:$L$3&lt;($D13*24))*(Forecast!$D$3:$L$3+1&gt;($C13*24))*Forecast!$D$33:$L$37))</f>
        <v>0.8</v>
      </c>
      <c r="T13" s="26" t="str">
        <f aca="false">IF(AND(R13&lt;=Assumptions!$B$15,S13&lt;=Assumptions!$B$16),"Open",IF(R13&lt;=Assumptions!$B$17,"Check first","Conflict"))</f>
        <v>Conflict</v>
      </c>
      <c r="U13" s="34" t="n">
        <v>0</v>
      </c>
      <c r="V13" s="11" t="n">
        <f aca="false">IFERROR(SUMPRODUCT(ISNUMBER(SEARCH('Current Fall Actual'!$B$5:$B$9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*'Current Fall Actual'!$D$5:$L$9)/SUMPRODUCT(ISNUMBER(SEARCH('Current Fall Actual'!$B$5:$B$9,$B13))*(((((($D13*24)+Forecast!$D$3:$L$3+1-ABS(($D13*24)-Forecast!$D$3:$L$3-1))/2)-((($C13*24)+Forecast!$D$3:$L$3+ABS(($C13*24)-Forecast!$D$3:$L$3))/2))+ABS((((($D13*24)+Forecast!$D$3:$L$3+1-ABS(($D13*24)-Forecast!$D$3:$L$3-1))/2)-((($C13*24)+Forecast!$D$3:$L$3+ABS(($C13*24)-Forecast!$D$3:$L$3))/2))))/2)),0)</f>
        <v>0.333333333333333</v>
      </c>
      <c r="W13" s="11" t="n">
        <f aca="false">SUMPRODUCT(MAX(ISNUMBER(SEARCH('Current Fall Actual'!$B$5:$B$9,$B13))*(Forecast!$D$3:$L$3&lt;($D13*24))*(Forecast!$D$3:$L$3+1&gt;($C13*24))*'Current Fall Actual'!$D$5:$L$9))</f>
        <v>1</v>
      </c>
    </row>
    <row r="14" customFormat="false" ht="15" hidden="false" customHeight="false" outlineLevel="0" collapsed="false">
      <c r="A14" s="32" t="s">
        <v>188</v>
      </c>
      <c r="B14" s="32" t="s">
        <v>189</v>
      </c>
      <c r="C14" s="33" t="n">
        <v>0.375</v>
      </c>
      <c r="D14" s="33" t="n">
        <v>0.430555555555556</v>
      </c>
      <c r="E14" s="10" t="n">
        <f aca="false">(LEN(B14)-LEN(SUBSTITUTE(B14,",",""))+1)*(MIN(D14,17/24)-MAX(C14,8/24))*24</f>
        <v>2.66666666666667</v>
      </c>
      <c r="F14" s="11" t="n">
        <f aca="false">IFERROR(SUMPRODUCT(ISNUMBER(SEARCH(Forecast!$B$6:$B$10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*Forecast!$D$6:$L$10)/SUMPRODUCT(ISNUMBER(SEARCH(Forecast!$B$6:$B$10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),0)</f>
        <v>0.3</v>
      </c>
      <c r="G14" s="11" t="n">
        <f aca="false">SUMPRODUCT(MAX(ISNUMBER(SEARCH(Forecast!$B$6:$B$10,$B14))*(Forecast!$D$3:$L$3&lt;($D14*24))*(Forecast!$D$3:$L$3+1&gt;($C14*24))*Forecast!$D$6:$L$10))</f>
        <v>0.3</v>
      </c>
      <c r="H14" s="26" t="str">
        <f aca="false">IF(AND(F14&lt;=Assumptions!$B$15,G14&lt;=Assumptions!$B$16),"Open",IF(F14&lt;=Assumptions!$B$17,"Check first","Conflict"))</f>
        <v>Check first</v>
      </c>
      <c r="I14" s="34" t="n">
        <v>1</v>
      </c>
      <c r="J14" s="11" t="n">
        <f aca="false">IFERROR(SUMPRODUCT(ISNUMBER(SEARCH(Forecast!$B$15:$B$19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*Forecast!$D$15:$L$19)/SUMPRODUCT(ISNUMBER(SEARCH(Forecast!$B$15:$B$19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),0)</f>
        <v>0.0625000000000003</v>
      </c>
      <c r="K14" s="11" t="n">
        <f aca="false">SUMPRODUCT(MAX(ISNUMBER(SEARCH(Forecast!$B$15:$B$19,$B14))*(Forecast!$D$3:$L$3&lt;($D14*24))*(Forecast!$D$3:$L$3+1&gt;($C14*24))*Forecast!$D$15:$L$19))</f>
        <v>0.2</v>
      </c>
      <c r="L14" s="26" t="str">
        <f aca="false">IF(AND(J14&lt;=Assumptions!$B$15,K14&lt;=Assumptions!$B$16),"Open",IF(J14&lt;=Assumptions!$B$17,"Check first","Conflict"))</f>
        <v>Open</v>
      </c>
      <c r="M14" s="34" t="n">
        <v>1</v>
      </c>
      <c r="N14" s="11" t="n">
        <f aca="false">IFERROR(SUMPRODUCT(ISNUMBER(SEARCH(Forecast!$B$24:$B$28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*Forecast!$D$24:$L$28)/SUMPRODUCT(ISNUMBER(SEARCH(Forecast!$B$24:$B$28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),0)</f>
        <v>0</v>
      </c>
      <c r="O14" s="11" t="n">
        <f aca="false">SUMPRODUCT(MAX(ISNUMBER(SEARCH(Forecast!$B$24:$B$28,$B14))*(Forecast!$D$3:$L$3&lt;($D14*24))*(Forecast!$D$3:$L$3+1&gt;($C14*24))*Forecast!$D$24:$L$28))</f>
        <v>0</v>
      </c>
      <c r="P14" s="26" t="str">
        <f aca="false">IF(AND(N14&lt;=Assumptions!$B$15,O14&lt;=Assumptions!$B$16),"Open",IF(N14&lt;=Assumptions!$B$17,"Check first","Conflict"))</f>
        <v>Open</v>
      </c>
      <c r="Q14" s="34" t="n">
        <v>1</v>
      </c>
      <c r="R14" s="11" t="n">
        <f aca="false">IFERROR(SUMPRODUCT(ISNUMBER(SEARCH(Forecast!$B$33:$B$37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*Forecast!$D$33:$L$37)/SUMPRODUCT(ISNUMBER(SEARCH(Forecast!$B$33:$B$37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),0)</f>
        <v>0.01875</v>
      </c>
      <c r="S14" s="11" t="n">
        <f aca="false">SUMPRODUCT(MAX(ISNUMBER(SEARCH(Forecast!$B$33:$B$37,$B14))*(Forecast!$D$3:$L$3&lt;($D14*24))*(Forecast!$D$3:$L$3+1&gt;($C14*24))*Forecast!$D$33:$L$37))</f>
        <v>0.149999999999999</v>
      </c>
      <c r="T14" s="26" t="str">
        <f aca="false">IF(AND(R14&lt;=Assumptions!$B$15,S14&lt;=Assumptions!$B$16),"Open",IF(R14&lt;=Assumptions!$B$17,"Check first","Conflict"))</f>
        <v>Open</v>
      </c>
      <c r="U14" s="34" t="n">
        <v>1</v>
      </c>
      <c r="V14" s="11" t="n">
        <f aca="false">IFERROR(SUMPRODUCT(ISNUMBER(SEARCH('Current Fall Actual'!$B$5:$B$9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*'Current Fall Actual'!$D$5:$L$9)/SUMPRODUCT(ISNUMBER(SEARCH('Current Fall Actual'!$B$5:$B$9,$B14))*(((((($D14*24)+Forecast!$D$3:$L$3+1-ABS(($D14*24)-Forecast!$D$3:$L$3-1))/2)-((($C14*24)+Forecast!$D$3:$L$3+ABS(($C14*24)-Forecast!$D$3:$L$3))/2))+ABS((((($D14*24)+Forecast!$D$3:$L$3+1-ABS(($D14*24)-Forecast!$D$3:$L$3-1))/2)-((($C14*24)+Forecast!$D$3:$L$3+ABS(($C14*24)-Forecast!$D$3:$L$3))/2))))/2)),0)</f>
        <v>0</v>
      </c>
      <c r="W14" s="11" t="n">
        <f aca="false">SUMPRODUCT(MAX(ISNUMBER(SEARCH('Current Fall Actual'!$B$5:$B$9,$B14))*(Forecast!$D$3:$L$3&lt;($D14*24))*(Forecast!$D$3:$L$3+1&gt;($C14*24))*'Current Fall Actual'!$D$5:$L$9))</f>
        <v>0</v>
      </c>
    </row>
    <row r="15" customFormat="false" ht="15" hidden="false" customHeight="false" outlineLevel="0" collapsed="false">
      <c r="A15" s="32" t="s">
        <v>188</v>
      </c>
      <c r="B15" s="32" t="s">
        <v>189</v>
      </c>
      <c r="C15" s="33" t="n">
        <v>0.4375</v>
      </c>
      <c r="D15" s="33" t="n">
        <v>0.493055555555556</v>
      </c>
      <c r="E15" s="10" t="n">
        <f aca="false">(LEN(B15)-LEN(SUBSTITUTE(B15,",",""))+1)*(MIN(D15,17/24)-MAX(C15,8/24))*24</f>
        <v>2.66666666666667</v>
      </c>
      <c r="F15" s="11" t="n">
        <f aca="false">IFERROR(SUMPRODUCT(ISNUMBER(SEARCH(Forecast!$B$6:$B$10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*Forecast!$D$6:$L$10)/SUMPRODUCT(ISNUMBER(SEARCH(Forecast!$B$6:$B$10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),0)</f>
        <v>0.3</v>
      </c>
      <c r="G15" s="11" t="n">
        <f aca="false">SUMPRODUCT(MAX(ISNUMBER(SEARCH(Forecast!$B$6:$B$10,$B15))*(Forecast!$D$3:$L$3&lt;($D15*24))*(Forecast!$D$3:$L$3+1&gt;($C15*24))*Forecast!$D$6:$L$10))</f>
        <v>0.3</v>
      </c>
      <c r="H15" s="26" t="str">
        <f aca="false">IF(AND(F15&lt;=Assumptions!$B$15,G15&lt;=Assumptions!$B$16),"Open",IF(F15&lt;=Assumptions!$B$17,"Check first","Conflict"))</f>
        <v>Check first</v>
      </c>
      <c r="I15" s="34" t="n">
        <v>1</v>
      </c>
      <c r="J15" s="11" t="n">
        <f aca="false">IFERROR(SUMPRODUCT(ISNUMBER(SEARCH(Forecast!$B$15:$B$19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*Forecast!$D$15:$L$19)/SUMPRODUCT(ISNUMBER(SEARCH(Forecast!$B$15:$B$19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),0)</f>
        <v>0.240625</v>
      </c>
      <c r="K15" s="11" t="n">
        <f aca="false">SUMPRODUCT(MAX(ISNUMBER(SEARCH(Forecast!$B$15:$B$19,$B15))*(Forecast!$D$3:$L$3&lt;($D15*24))*(Forecast!$D$3:$L$3+1&gt;($C15*24))*Forecast!$D$15:$L$19))</f>
        <v>0.549999999999999</v>
      </c>
      <c r="L15" s="26" t="str">
        <f aca="false">IF(AND(J15&lt;=Assumptions!$B$15,K15&lt;=Assumptions!$B$16),"Open",IF(J15&lt;=Assumptions!$B$17,"Check first","Conflict"))</f>
        <v>Check first</v>
      </c>
      <c r="M15" s="34" t="n">
        <v>1</v>
      </c>
      <c r="N15" s="11" t="n">
        <f aca="false">IFERROR(SUMPRODUCT(ISNUMBER(SEARCH(Forecast!$B$24:$B$28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*Forecast!$D$24:$L$28)/SUMPRODUCT(ISNUMBER(SEARCH(Forecast!$B$24:$B$28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),0)</f>
        <v>0.0781249999999998</v>
      </c>
      <c r="O15" s="11" t="n">
        <f aca="false">SUMPRODUCT(MAX(ISNUMBER(SEARCH(Forecast!$B$24:$B$28,$B15))*(Forecast!$D$3:$L$3&lt;($D15*24))*(Forecast!$D$3:$L$3+1&gt;($C15*24))*Forecast!$D$24:$L$28))</f>
        <v>0.249999999999999</v>
      </c>
      <c r="P15" s="26" t="str">
        <f aca="false">IF(AND(N15&lt;=Assumptions!$B$15,O15&lt;=Assumptions!$B$16),"Open",IF(N15&lt;=Assumptions!$B$17,"Check first","Conflict"))</f>
        <v>Open</v>
      </c>
      <c r="Q15" s="34" t="n">
        <v>1</v>
      </c>
      <c r="R15" s="11" t="n">
        <f aca="false">IFERROR(SUMPRODUCT(ISNUMBER(SEARCH(Forecast!$B$33:$B$37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*Forecast!$D$33:$L$37)/SUMPRODUCT(ISNUMBER(SEARCH(Forecast!$B$33:$B$37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),0)</f>
        <v>0.278125</v>
      </c>
      <c r="S15" s="11" t="n">
        <f aca="false">SUMPRODUCT(MAX(ISNUMBER(SEARCH(Forecast!$B$33:$B$37,$B15))*(Forecast!$D$3:$L$3&lt;($D15*24))*(Forecast!$D$3:$L$3+1&gt;($C15*24))*Forecast!$D$33:$L$37))</f>
        <v>0.8</v>
      </c>
      <c r="T15" s="26" t="str">
        <f aca="false">IF(AND(R15&lt;=Assumptions!$B$15,S15&lt;=Assumptions!$B$16),"Open",IF(R15&lt;=Assumptions!$B$17,"Check first","Conflict"))</f>
        <v>Check first</v>
      </c>
      <c r="U15" s="34" t="n">
        <v>1</v>
      </c>
      <c r="V15" s="11" t="n">
        <f aca="false">IFERROR(SUMPRODUCT(ISNUMBER(SEARCH('Current Fall Actual'!$B$5:$B$9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*'Current Fall Actual'!$D$5:$L$9)/SUMPRODUCT(ISNUMBER(SEARCH('Current Fall Actual'!$B$5:$B$9,$B15))*(((((($D15*24)+Forecast!$D$3:$L$3+1-ABS(($D15*24)-Forecast!$D$3:$L$3-1))/2)-((($C15*24)+Forecast!$D$3:$L$3+ABS(($C15*24)-Forecast!$D$3:$L$3))/2))+ABS((((($D15*24)+Forecast!$D$3:$L$3+1-ABS(($D15*24)-Forecast!$D$3:$L$3-1))/2)-((($C15*24)+Forecast!$D$3:$L$3+ABS(($C15*24)-Forecast!$D$3:$L$3))/2))))/2)),0)</f>
        <v>0.15625</v>
      </c>
      <c r="W15" s="11" t="n">
        <f aca="false">SUMPRODUCT(MAX(ISNUMBER(SEARCH('Current Fall Actual'!$B$5:$B$9,$B15))*(Forecast!$D$3:$L$3&lt;($D15*24))*(Forecast!$D$3:$L$3+1&gt;($C15*24))*'Current Fall Actual'!$D$5:$L$9))</f>
        <v>0.5</v>
      </c>
    </row>
    <row r="16" customFormat="false" ht="15" hidden="false" customHeight="false" outlineLevel="0" collapsed="false">
      <c r="A16" s="32" t="s">
        <v>188</v>
      </c>
      <c r="B16" s="32" t="s">
        <v>189</v>
      </c>
      <c r="C16" s="33" t="n">
        <v>0.5</v>
      </c>
      <c r="D16" s="33" t="n">
        <v>0.555555555555556</v>
      </c>
      <c r="E16" s="10" t="n">
        <f aca="false">(LEN(B16)-LEN(SUBSTITUTE(B16,",",""))+1)*(MIN(D16,17/24)-MAX(C16,8/24))*24</f>
        <v>2.66666666666667</v>
      </c>
      <c r="F16" s="11" t="n">
        <f aca="false">IFERROR(SUMPRODUCT(ISNUMBER(SEARCH(Forecast!$B$6:$B$10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*Forecast!$D$6:$L$10)/SUMPRODUCT(ISNUMBER(SEARCH(Forecast!$B$6:$B$10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),0)</f>
        <v>0.704166666666667</v>
      </c>
      <c r="G16" s="11" t="n">
        <f aca="false">SUMPRODUCT(MAX(ISNUMBER(SEARCH(Forecast!$B$6:$B$10,$B16))*(Forecast!$D$3:$L$3&lt;($D16*24))*(Forecast!$D$3:$L$3+1&gt;($C16*24))*Forecast!$D$6:$L$10))</f>
        <v>1</v>
      </c>
      <c r="H16" s="26" t="str">
        <f aca="false">IF(AND(F16&lt;=Assumptions!$B$15,G16&lt;=Assumptions!$B$16),"Open",IF(F16&lt;=Assumptions!$B$17,"Check first","Conflict"))</f>
        <v>Conflict</v>
      </c>
      <c r="I16" s="34" t="n">
        <v>0</v>
      </c>
      <c r="J16" s="11" t="n">
        <f aca="false">IFERROR(SUMPRODUCT(ISNUMBER(SEARCH(Forecast!$B$15:$B$19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*Forecast!$D$15:$L$19)/SUMPRODUCT(ISNUMBER(SEARCH(Forecast!$B$15:$B$19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),0)</f>
        <v>0.947916666666666</v>
      </c>
      <c r="K16" s="11" t="n">
        <f aca="false">SUMPRODUCT(MAX(ISNUMBER(SEARCH(Forecast!$B$15:$B$19,$B16))*(Forecast!$D$3:$L$3&lt;($D16*24))*(Forecast!$D$3:$L$3+1&gt;($C16*24))*Forecast!$D$15:$L$19))</f>
        <v>1</v>
      </c>
      <c r="L16" s="26" t="str">
        <f aca="false">IF(AND(J16&lt;=Assumptions!$B$15,K16&lt;=Assumptions!$B$16),"Open",IF(J16&lt;=Assumptions!$B$17,"Check first","Conflict"))</f>
        <v>Conflict</v>
      </c>
      <c r="M16" s="34" t="n">
        <v>0</v>
      </c>
      <c r="N16" s="11" t="n">
        <f aca="false">IFERROR(SUMPRODUCT(ISNUMBER(SEARCH(Forecast!$B$24:$B$28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*Forecast!$D$24:$L$28)/SUMPRODUCT(ISNUMBER(SEARCH(Forecast!$B$24:$B$28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),0)</f>
        <v>0.624999999999999</v>
      </c>
      <c r="O16" s="11" t="n">
        <f aca="false">SUMPRODUCT(MAX(ISNUMBER(SEARCH(Forecast!$B$24:$B$28,$B16))*(Forecast!$D$3:$L$3&lt;($D16*24))*(Forecast!$D$3:$L$3+1&gt;($C16*24))*Forecast!$D$24:$L$28))</f>
        <v>1</v>
      </c>
      <c r="P16" s="26" t="str">
        <f aca="false">IF(AND(N16&lt;=Assumptions!$B$15,O16&lt;=Assumptions!$B$16),"Open",IF(N16&lt;=Assumptions!$B$17,"Check first","Conflict"))</f>
        <v>Conflict</v>
      </c>
      <c r="Q16" s="34" t="n">
        <v>0</v>
      </c>
      <c r="R16" s="11" t="n">
        <f aca="false">IFERROR(SUMPRODUCT(ISNUMBER(SEARCH(Forecast!$B$33:$B$37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*Forecast!$D$33:$L$37)/SUMPRODUCT(ISNUMBER(SEARCH(Forecast!$B$33:$B$37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),0)</f>
        <v>0.687499999999998</v>
      </c>
      <c r="S16" s="11" t="n">
        <f aca="false">SUMPRODUCT(MAX(ISNUMBER(SEARCH(Forecast!$B$33:$B$37,$B16))*(Forecast!$D$3:$L$3&lt;($D16*24))*(Forecast!$D$3:$L$3+1&gt;($C16*24))*Forecast!$D$33:$L$37))</f>
        <v>0.999999999999998</v>
      </c>
      <c r="T16" s="26" t="str">
        <f aca="false">IF(AND(R16&lt;=Assumptions!$B$15,S16&lt;=Assumptions!$B$16),"Open",IF(R16&lt;=Assumptions!$B$17,"Check first","Conflict"))</f>
        <v>Conflict</v>
      </c>
      <c r="U16" s="34" t="n">
        <v>0</v>
      </c>
      <c r="V16" s="11" t="n">
        <f aca="false">IFERROR(SUMPRODUCT(ISNUMBER(SEARCH('Current Fall Actual'!$B$5:$B$9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*'Current Fall Actual'!$D$5:$L$9)/SUMPRODUCT(ISNUMBER(SEARCH('Current Fall Actual'!$B$5:$B$9,$B16))*(((((($D16*24)+Forecast!$D$3:$L$3+1-ABS(($D16*24)-Forecast!$D$3:$L$3-1))/2)-((($C16*24)+Forecast!$D$3:$L$3+ABS(($C16*24)-Forecast!$D$3:$L$3))/2))+ABS((((($D16*24)+Forecast!$D$3:$L$3+1-ABS(($D16*24)-Forecast!$D$3:$L$3-1))/2)-((($C16*24)+Forecast!$D$3:$L$3+ABS(($C16*24)-Forecast!$D$3:$L$3))/2))))/2)),0)</f>
        <v>0.937499999999998</v>
      </c>
      <c r="W16" s="11" t="n">
        <f aca="false">SUMPRODUCT(MAX(ISNUMBER(SEARCH('Current Fall Actual'!$B$5:$B$9,$B16))*(Forecast!$D$3:$L$3&lt;($D16*24))*(Forecast!$D$3:$L$3+1&gt;($C16*24))*'Current Fall Actual'!$D$5:$L$9))</f>
        <v>1</v>
      </c>
    </row>
    <row r="17" customFormat="false" ht="15" hidden="false" customHeight="false" outlineLevel="0" collapsed="false">
      <c r="A17" s="32" t="s">
        <v>188</v>
      </c>
      <c r="B17" s="32" t="s">
        <v>189</v>
      </c>
      <c r="C17" s="33" t="n">
        <v>0.5625</v>
      </c>
      <c r="D17" s="33" t="n">
        <v>0.618055555555556</v>
      </c>
      <c r="E17" s="10" t="n">
        <f aca="false">(LEN(B17)-LEN(SUBSTITUTE(B17,",",""))+1)*(MIN(D17,17/24)-MAX(C17,8/24))*24</f>
        <v>2.66666666666667</v>
      </c>
      <c r="F17" s="11" t="n">
        <f aca="false">IFERROR(SUMPRODUCT(ISNUMBER(SEARCH(Forecast!$B$6:$B$10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*Forecast!$D$6:$L$10)/SUMPRODUCT(ISNUMBER(SEARCH(Forecast!$B$6:$B$10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),0)</f>
        <v>0.546875</v>
      </c>
      <c r="G17" s="11" t="n">
        <f aca="false">SUMPRODUCT(MAX(ISNUMBER(SEARCH(Forecast!$B$6:$B$10,$B17))*(Forecast!$D$3:$L$3&lt;($D17*24))*(Forecast!$D$3:$L$3+1&gt;($C17*24))*Forecast!$D$6:$L$10))</f>
        <v>1</v>
      </c>
      <c r="H17" s="26" t="str">
        <f aca="false">IF(AND(F17&lt;=Assumptions!$B$15,G17&lt;=Assumptions!$B$16),"Open",IF(F17&lt;=Assumptions!$B$17,"Check first","Conflict"))</f>
        <v>Conflict</v>
      </c>
      <c r="I17" s="34" t="n">
        <v>0</v>
      </c>
      <c r="J17" s="11" t="n">
        <f aca="false">IFERROR(SUMPRODUCT(ISNUMBER(SEARCH(Forecast!$B$15:$B$19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*Forecast!$D$15:$L$19)/SUMPRODUCT(ISNUMBER(SEARCH(Forecast!$B$15:$B$19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),0)</f>
        <v>0.546875</v>
      </c>
      <c r="K17" s="11" t="n">
        <f aca="false">SUMPRODUCT(MAX(ISNUMBER(SEARCH(Forecast!$B$15:$B$19,$B17))*(Forecast!$D$3:$L$3&lt;($D17*24))*(Forecast!$D$3:$L$3+1&gt;($C17*24))*Forecast!$D$15:$L$19))</f>
        <v>1</v>
      </c>
      <c r="L17" s="26" t="str">
        <f aca="false">IF(AND(J17&lt;=Assumptions!$B$15,K17&lt;=Assumptions!$B$16),"Open",IF(J17&lt;=Assumptions!$B$17,"Check first","Conflict"))</f>
        <v>Conflict</v>
      </c>
      <c r="M17" s="34" t="n">
        <v>0</v>
      </c>
      <c r="N17" s="11" t="n">
        <f aca="false">IFERROR(SUMPRODUCT(ISNUMBER(SEARCH(Forecast!$B$24:$B$28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*Forecast!$D$24:$L$28)/SUMPRODUCT(ISNUMBER(SEARCH(Forecast!$B$24:$B$28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),0)</f>
        <v>0.762499999999999</v>
      </c>
      <c r="O17" s="11" t="n">
        <f aca="false">SUMPRODUCT(MAX(ISNUMBER(SEARCH(Forecast!$B$24:$B$28,$B17))*(Forecast!$D$3:$L$3&lt;($D17*24))*(Forecast!$D$3:$L$3+1&gt;($C17*24))*Forecast!$D$24:$L$28))</f>
        <v>1</v>
      </c>
      <c r="P17" s="26" t="str">
        <f aca="false">IF(AND(N17&lt;=Assumptions!$B$15,O17&lt;=Assumptions!$B$16),"Open",IF(N17&lt;=Assumptions!$B$17,"Check first","Conflict"))</f>
        <v>Conflict</v>
      </c>
      <c r="Q17" s="34" t="n">
        <v>0</v>
      </c>
      <c r="R17" s="11" t="n">
        <f aca="false">IFERROR(SUMPRODUCT(ISNUMBER(SEARCH(Forecast!$B$33:$B$37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*Forecast!$D$33:$L$37)/SUMPRODUCT(ISNUMBER(SEARCH(Forecast!$B$33:$B$37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),0)</f>
        <v>0.28125</v>
      </c>
      <c r="S17" s="11" t="n">
        <f aca="false">SUMPRODUCT(MAX(ISNUMBER(SEARCH(Forecast!$B$33:$B$37,$B17))*(Forecast!$D$3:$L$3&lt;($D17*24))*(Forecast!$D$3:$L$3+1&gt;($C17*24))*Forecast!$D$33:$L$37))</f>
        <v>0.75</v>
      </c>
      <c r="T17" s="26" t="str">
        <f aca="false">IF(AND(R17&lt;=Assumptions!$B$15,S17&lt;=Assumptions!$B$16),"Open",IF(R17&lt;=Assumptions!$B$17,"Check first","Conflict"))</f>
        <v>Check first</v>
      </c>
      <c r="U17" s="34" t="n">
        <v>1</v>
      </c>
      <c r="V17" s="11" t="n">
        <f aca="false">IFERROR(SUMPRODUCT(ISNUMBER(SEARCH('Current Fall Actual'!$B$5:$B$9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*'Current Fall Actual'!$D$5:$L$9)/SUMPRODUCT(ISNUMBER(SEARCH('Current Fall Actual'!$B$5:$B$9,$B17))*(((((($D17*24)+Forecast!$D$3:$L$3+1-ABS(($D17*24)-Forecast!$D$3:$L$3-1))/2)-((($C17*24)+Forecast!$D$3:$L$3+ABS(($C17*24)-Forecast!$D$3:$L$3))/2))+ABS((((($D17*24)+Forecast!$D$3:$L$3+1-ABS(($D17*24)-Forecast!$D$3:$L$3-1))/2)-((($C17*24)+Forecast!$D$3:$L$3+ABS(($C17*24)-Forecast!$D$3:$L$3))/2))))/2)),0)</f>
        <v>0.28125</v>
      </c>
      <c r="W17" s="11" t="n">
        <f aca="false">SUMPRODUCT(MAX(ISNUMBER(SEARCH('Current Fall Actual'!$B$5:$B$9,$B17))*(Forecast!$D$3:$L$3&lt;($D17*24))*(Forecast!$D$3:$L$3+1&gt;($C17*24))*'Current Fall Actual'!$D$5:$L$9))</f>
        <v>1</v>
      </c>
    </row>
    <row r="18" customFormat="false" ht="15" hidden="false" customHeight="false" outlineLevel="0" collapsed="false">
      <c r="A18" s="32" t="s">
        <v>188</v>
      </c>
      <c r="B18" s="32" t="s">
        <v>189</v>
      </c>
      <c r="C18" s="33" t="n">
        <v>0.625</v>
      </c>
      <c r="D18" s="33" t="n">
        <v>0.680555555555556</v>
      </c>
      <c r="E18" s="10" t="n">
        <f aca="false">(LEN(B18)-LEN(SUBSTITUTE(B18,",",""))+1)*(MIN(D18,17/24)-MAX(C18,8/24))*24</f>
        <v>2.66666666666667</v>
      </c>
      <c r="F18" s="11" t="n">
        <f aca="false">IFERROR(SUMPRODUCT(ISNUMBER(SEARCH(Forecast!$B$6:$B$10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*Forecast!$D$6:$L$10)/SUMPRODUCT(ISNUMBER(SEARCH(Forecast!$B$6:$B$10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),0)</f>
        <v>0.700000000000001</v>
      </c>
      <c r="G18" s="11" t="n">
        <f aca="false">SUMPRODUCT(MAX(ISNUMBER(SEARCH(Forecast!$B$6:$B$10,$B18))*(Forecast!$D$3:$L$3&lt;($D18*24))*(Forecast!$D$3:$L$3+1&gt;($C18*24))*Forecast!$D$6:$L$10))</f>
        <v>0.999999999999999</v>
      </c>
      <c r="H18" s="26" t="str">
        <f aca="false">IF(AND(F18&lt;=Assumptions!$B$15,G18&lt;=Assumptions!$B$16),"Open",IF(F18&lt;=Assumptions!$B$17,"Check first","Conflict"))</f>
        <v>Conflict</v>
      </c>
      <c r="I18" s="34" t="n">
        <v>0</v>
      </c>
      <c r="J18" s="11" t="n">
        <f aca="false">IFERROR(SUMPRODUCT(ISNUMBER(SEARCH(Forecast!$B$15:$B$19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*Forecast!$D$15:$L$19)/SUMPRODUCT(ISNUMBER(SEARCH(Forecast!$B$15:$B$19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),0)</f>
        <v>0.718750000000001</v>
      </c>
      <c r="K18" s="11" t="n">
        <f aca="false">SUMPRODUCT(MAX(ISNUMBER(SEARCH(Forecast!$B$15:$B$19,$B18))*(Forecast!$D$3:$L$3&lt;($D18*24))*(Forecast!$D$3:$L$3+1&gt;($C18*24))*Forecast!$D$15:$L$19))</f>
        <v>0.999999999999999</v>
      </c>
      <c r="L18" s="26" t="str">
        <f aca="false">IF(AND(J18&lt;=Assumptions!$B$15,K18&lt;=Assumptions!$B$16),"Open",IF(J18&lt;=Assumptions!$B$17,"Check first","Conflict"))</f>
        <v>Conflict</v>
      </c>
      <c r="M18" s="34" t="n">
        <v>0</v>
      </c>
      <c r="N18" s="11" t="n">
        <f aca="false">IFERROR(SUMPRODUCT(ISNUMBER(SEARCH(Forecast!$B$24:$B$28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*Forecast!$D$24:$L$28)/SUMPRODUCT(ISNUMBER(SEARCH(Forecast!$B$24:$B$28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),0)</f>
        <v>0.743750000000001</v>
      </c>
      <c r="O18" s="11" t="n">
        <f aca="false">SUMPRODUCT(MAX(ISNUMBER(SEARCH(Forecast!$B$24:$B$28,$B18))*(Forecast!$D$3:$L$3&lt;($D18*24))*(Forecast!$D$3:$L$3+1&gt;($C18*24))*Forecast!$D$24:$L$28))</f>
        <v>0.999999999999999</v>
      </c>
      <c r="P18" s="26" t="str">
        <f aca="false">IF(AND(N18&lt;=Assumptions!$B$15,O18&lt;=Assumptions!$B$16),"Open",IF(N18&lt;=Assumptions!$B$17,"Check first","Conflict"))</f>
        <v>Conflict</v>
      </c>
      <c r="Q18" s="34" t="n">
        <v>0</v>
      </c>
      <c r="R18" s="11" t="n">
        <f aca="false">IFERROR(SUMPRODUCT(ISNUMBER(SEARCH(Forecast!$B$33:$B$37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*Forecast!$D$33:$L$37)/SUMPRODUCT(ISNUMBER(SEARCH(Forecast!$B$33:$B$37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),0)</f>
        <v>0.08125</v>
      </c>
      <c r="S18" s="11" t="n">
        <f aca="false">SUMPRODUCT(MAX(ISNUMBER(SEARCH(Forecast!$B$33:$B$37,$B18))*(Forecast!$D$3:$L$3&lt;($D18*24))*(Forecast!$D$3:$L$3+1&gt;($C18*24))*Forecast!$D$33:$L$37))</f>
        <v>0.2</v>
      </c>
      <c r="T18" s="26" t="str">
        <f aca="false">IF(AND(R18&lt;=Assumptions!$B$15,S18&lt;=Assumptions!$B$16),"Open",IF(R18&lt;=Assumptions!$B$17,"Check first","Conflict"))</f>
        <v>Open</v>
      </c>
      <c r="U18" s="34" t="n">
        <v>1</v>
      </c>
      <c r="V18" s="11" t="n">
        <f aca="false">IFERROR(SUMPRODUCT(ISNUMBER(SEARCH('Current Fall Actual'!$B$5:$B$9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*'Current Fall Actual'!$D$5:$L$9)/SUMPRODUCT(ISNUMBER(SEARCH('Current Fall Actual'!$B$5:$B$9,$B18))*(((((($D18*24)+Forecast!$D$3:$L$3+1-ABS(($D18*24)-Forecast!$D$3:$L$3-1))/2)-((($C18*24)+Forecast!$D$3:$L$3+ABS(($C18*24)-Forecast!$D$3:$L$3))/2))+ABS((((($D18*24)+Forecast!$D$3:$L$3+1-ABS(($D18*24)-Forecast!$D$3:$L$3-1))/2)-((($C18*24)+Forecast!$D$3:$L$3+ABS(($C18*24)-Forecast!$D$3:$L$3))/2))))/2)),0)</f>
        <v>0.875000000000001</v>
      </c>
      <c r="W18" s="11" t="n">
        <f aca="false">SUMPRODUCT(MAX(ISNUMBER(SEARCH('Current Fall Actual'!$B$5:$B$9,$B18))*(Forecast!$D$3:$L$3&lt;($D18*24))*(Forecast!$D$3:$L$3+1&gt;($C18*24))*'Current Fall Actual'!$D$5:$L$9))</f>
        <v>1</v>
      </c>
    </row>
    <row r="19" customFormat="false" ht="15" hidden="false" customHeight="false" outlineLevel="0" collapsed="false">
      <c r="A19" s="32" t="s">
        <v>188</v>
      </c>
      <c r="B19" s="32" t="s">
        <v>189</v>
      </c>
      <c r="C19" s="33" t="n">
        <v>0.6875</v>
      </c>
      <c r="D19" s="33" t="n">
        <v>0.743055555555556</v>
      </c>
      <c r="E19" s="10" t="n">
        <f aca="false">(LEN(B19)-LEN(SUBSTITUTE(B19,",",""))+1)*(MIN(D19,17/24)-MAX(C19,8/24))*24</f>
        <v>1</v>
      </c>
      <c r="F19" s="11" t="n">
        <f aca="false">IFERROR(SUMPRODUCT(ISNUMBER(SEARCH(Forecast!$B$6:$B$10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*Forecast!$D$6:$L$10)/SUMPRODUCT(ISNUMBER(SEARCH(Forecast!$B$6:$B$10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),0)</f>
        <v>0.175000000000001</v>
      </c>
      <c r="G19" s="11" t="n">
        <f aca="false">SUMPRODUCT(MAX(ISNUMBER(SEARCH(Forecast!$B$6:$B$10,$B19))*(Forecast!$D$3:$L$3&lt;($D19*24))*(Forecast!$D$3:$L$3+1&gt;($C19*24))*Forecast!$D$6:$L$10))</f>
        <v>0.250000000000002</v>
      </c>
      <c r="H19" s="26" t="str">
        <f aca="false">IF(AND(F19&lt;=Assumptions!$B$15,G19&lt;=Assumptions!$B$16),"Open",IF(F19&lt;=Assumptions!$B$17,"Check first","Conflict"))</f>
        <v>Open</v>
      </c>
      <c r="I19" s="34" t="n">
        <v>0</v>
      </c>
      <c r="J19" s="11" t="n">
        <f aca="false">IFERROR(SUMPRODUCT(ISNUMBER(SEARCH(Forecast!$B$15:$B$19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*Forecast!$D$15:$L$19)/SUMPRODUCT(ISNUMBER(SEARCH(Forecast!$B$15:$B$19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),0)</f>
        <v>0.250000000000001</v>
      </c>
      <c r="K19" s="11" t="n">
        <f aca="false">SUMPRODUCT(MAX(ISNUMBER(SEARCH(Forecast!$B$15:$B$19,$B19))*(Forecast!$D$3:$L$3&lt;($D19*24))*(Forecast!$D$3:$L$3+1&gt;($C19*24))*Forecast!$D$15:$L$19))</f>
        <v>0.400000000000001</v>
      </c>
      <c r="L19" s="26" t="str">
        <f aca="false">IF(AND(J19&lt;=Assumptions!$B$15,K19&lt;=Assumptions!$B$16),"Open",IF(J19&lt;=Assumptions!$B$17,"Check first","Conflict"))</f>
        <v>Check first</v>
      </c>
      <c r="M19" s="34" t="n">
        <v>0</v>
      </c>
      <c r="N19" s="11" t="n">
        <f aca="false">IFERROR(SUMPRODUCT(ISNUMBER(SEARCH(Forecast!$B$24:$B$28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*Forecast!$D$24:$L$28)/SUMPRODUCT(ISNUMBER(SEARCH(Forecast!$B$24:$B$28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),0)</f>
        <v>0.350000000000001</v>
      </c>
      <c r="O19" s="11" t="n">
        <f aca="false">SUMPRODUCT(MAX(ISNUMBER(SEARCH(Forecast!$B$24:$B$28,$B19))*(Forecast!$D$3:$L$3&lt;($D19*24))*(Forecast!$D$3:$L$3+1&gt;($C19*24))*Forecast!$D$24:$L$28))</f>
        <v>0.45</v>
      </c>
      <c r="P19" s="26" t="str">
        <f aca="false">IF(AND(N19&lt;=Assumptions!$B$15,O19&lt;=Assumptions!$B$16),"Open",IF(N19&lt;=Assumptions!$B$17,"Check first","Conflict"))</f>
        <v>Check first</v>
      </c>
      <c r="Q19" s="34" t="n">
        <v>0</v>
      </c>
      <c r="R19" s="11" t="n">
        <f aca="false">IFERROR(SUMPRODUCT(ISNUMBER(SEARCH(Forecast!$B$33:$B$37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*Forecast!$D$33:$L$37)/SUMPRODUCT(ISNUMBER(SEARCH(Forecast!$B$33:$B$37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),0)</f>
        <v>0.1</v>
      </c>
      <c r="S19" s="11" t="n">
        <f aca="false">SUMPRODUCT(MAX(ISNUMBER(SEARCH(Forecast!$B$33:$B$37,$B19))*(Forecast!$D$3:$L$3&lt;($D19*24))*(Forecast!$D$3:$L$3+1&gt;($C19*24))*Forecast!$D$33:$L$37))</f>
        <v>0.2</v>
      </c>
      <c r="T19" s="26" t="str">
        <f aca="false">IF(AND(R19&lt;=Assumptions!$B$15,S19&lt;=Assumptions!$B$16),"Open",IF(R19&lt;=Assumptions!$B$17,"Check first","Conflict"))</f>
        <v>Open</v>
      </c>
      <c r="U19" s="34" t="n">
        <v>0</v>
      </c>
      <c r="V19" s="11" t="n">
        <f aca="false">IFERROR(SUMPRODUCT(ISNUMBER(SEARCH('Current Fall Actual'!$B$5:$B$9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*'Current Fall Actual'!$D$5:$L$9)/SUMPRODUCT(ISNUMBER(SEARCH('Current Fall Actual'!$B$5:$B$9,$B19))*(((((($D19*24)+Forecast!$D$3:$L$3+1-ABS(($D19*24)-Forecast!$D$3:$L$3-1))/2)-((($C19*24)+Forecast!$D$3:$L$3+ABS(($C19*24)-Forecast!$D$3:$L$3))/2))+ABS((((($D19*24)+Forecast!$D$3:$L$3+1-ABS(($D19*24)-Forecast!$D$3:$L$3-1))/2)-((($C19*24)+Forecast!$D$3:$L$3+ABS(($C19*24)-Forecast!$D$3:$L$3))/2))))/2)),0)</f>
        <v>0.5</v>
      </c>
      <c r="W19" s="11" t="n">
        <f aca="false">SUMPRODUCT(MAX(ISNUMBER(SEARCH('Current Fall Actual'!$B$5:$B$9,$B19))*(Forecast!$D$3:$L$3&lt;($D19*24))*(Forecast!$D$3:$L$3+1&gt;($C19*24))*'Current Fall Actual'!$D$5:$L$9))</f>
        <v>1</v>
      </c>
    </row>
    <row r="20" customFormat="false" ht="15" hidden="false" customHeight="false" outlineLevel="0" collapsed="false">
      <c r="A20" s="32" t="s">
        <v>190</v>
      </c>
      <c r="B20" s="32" t="s">
        <v>191</v>
      </c>
      <c r="C20" s="33" t="n">
        <v>0.4375</v>
      </c>
      <c r="D20" s="33" t="n">
        <v>0.493055555555556</v>
      </c>
      <c r="E20" s="10" t="n">
        <f aca="false">(LEN(B20)-LEN(SUBSTITUTE(B20,",",""))+1)*(MIN(D20,17/24)-MAX(C20,8/24))*24</f>
        <v>2.66666666666667</v>
      </c>
      <c r="F20" s="11" t="n">
        <f aca="false">IFERROR(SUMPRODUCT(ISNUMBER(SEARCH(Forecast!$B$6:$B$10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*Forecast!$D$6:$L$10)/SUMPRODUCT(ISNUMBER(SEARCH(Forecast!$B$6:$B$10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),0)</f>
        <v>0.3765625</v>
      </c>
      <c r="G20" s="11" t="n">
        <f aca="false">SUMPRODUCT(MAX(ISNUMBER(SEARCH(Forecast!$B$6:$B$10,$B20))*(Forecast!$D$3:$L$3&lt;($D20*24))*(Forecast!$D$3:$L$3+1&gt;($C20*24))*Forecast!$D$6:$L$10))</f>
        <v>0.849999999999999</v>
      </c>
      <c r="H20" s="26" t="str">
        <f aca="false">IF(AND(F20&lt;=Assumptions!$B$15,G20&lt;=Assumptions!$B$16),"Open",IF(F20&lt;=Assumptions!$B$17,"Check first","Conflict"))</f>
        <v>Conflict</v>
      </c>
      <c r="I20" s="34" t="n">
        <v>0</v>
      </c>
      <c r="J20" s="11" t="n">
        <f aca="false">IFERROR(SUMPRODUCT(ISNUMBER(SEARCH(Forecast!$B$15:$B$19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*Forecast!$D$15:$L$19)/SUMPRODUCT(ISNUMBER(SEARCH(Forecast!$B$15:$B$19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),0)</f>
        <v>0.2046875</v>
      </c>
      <c r="K20" s="11" t="n">
        <f aca="false">SUMPRODUCT(MAX(ISNUMBER(SEARCH(Forecast!$B$15:$B$19,$B20))*(Forecast!$D$3:$L$3&lt;($D20*24))*(Forecast!$D$3:$L$3+1&gt;($C20*24))*Forecast!$D$15:$L$19))</f>
        <v>0.3</v>
      </c>
      <c r="L20" s="26" t="str">
        <f aca="false">IF(AND(J20&lt;=Assumptions!$B$15,K20&lt;=Assumptions!$B$16),"Open",IF(J20&lt;=Assumptions!$B$17,"Check first","Conflict"))</f>
        <v>Check first</v>
      </c>
      <c r="M20" s="34" t="n">
        <v>1</v>
      </c>
      <c r="N20" s="11" t="n">
        <f aca="false">IFERROR(SUMPRODUCT(ISNUMBER(SEARCH(Forecast!$B$24:$B$28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*Forecast!$D$24:$L$28)/SUMPRODUCT(ISNUMBER(SEARCH(Forecast!$B$24:$B$28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),0)</f>
        <v>0.1875</v>
      </c>
      <c r="O20" s="11" t="n">
        <f aca="false">SUMPRODUCT(MAX(ISNUMBER(SEARCH(Forecast!$B$24:$B$28,$B20))*(Forecast!$D$3:$L$3&lt;($D20*24))*(Forecast!$D$3:$L$3+1&gt;($C20*24))*Forecast!$D$24:$L$28))</f>
        <v>0.3</v>
      </c>
      <c r="P20" s="26" t="str">
        <f aca="false">IF(AND(N20&lt;=Assumptions!$B$15,O20&lt;=Assumptions!$B$16),"Open",IF(N20&lt;=Assumptions!$B$17,"Check first","Conflict"))</f>
        <v>Open</v>
      </c>
      <c r="Q20" s="34" t="n">
        <v>1</v>
      </c>
      <c r="R20" s="11" t="n">
        <f aca="false">IFERROR(SUMPRODUCT(ISNUMBER(SEARCH(Forecast!$B$33:$B$37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*Forecast!$D$33:$L$37)/SUMPRODUCT(ISNUMBER(SEARCH(Forecast!$B$33:$B$37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),0)</f>
        <v>0.234375</v>
      </c>
      <c r="S20" s="11" t="n">
        <f aca="false">SUMPRODUCT(MAX(ISNUMBER(SEARCH(Forecast!$B$33:$B$37,$B20))*(Forecast!$D$3:$L$3&lt;($D20*24))*(Forecast!$D$3:$L$3+1&gt;($C20*24))*Forecast!$D$33:$L$37))</f>
        <v>0.5</v>
      </c>
      <c r="T20" s="26" t="str">
        <f aca="false">IF(AND(R20&lt;=Assumptions!$B$15,S20&lt;=Assumptions!$B$16),"Open",IF(R20&lt;=Assumptions!$B$17,"Check first","Conflict"))</f>
        <v>Check first</v>
      </c>
      <c r="U20" s="34" t="n">
        <v>1</v>
      </c>
      <c r="V20" s="11" t="n">
        <f aca="false">IFERROR(SUMPRODUCT(ISNUMBER(SEARCH('Current Fall Actual'!$B$5:$B$9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*'Current Fall Actual'!$D$5:$L$9)/SUMPRODUCT(ISNUMBER(SEARCH('Current Fall Actual'!$B$5:$B$9,$B20))*(((((($D20*24)+Forecast!$D$3:$L$3+1-ABS(($D20*24)-Forecast!$D$3:$L$3-1))/2)-((($C20*24)+Forecast!$D$3:$L$3+ABS(($C20*24)-Forecast!$D$3:$L$3))/2))+ABS((((($D20*24)+Forecast!$D$3:$L$3+1-ABS(($D20*24)-Forecast!$D$3:$L$3-1))/2)-((($C20*24)+Forecast!$D$3:$L$3+ABS(($C20*24)-Forecast!$D$3:$L$3))/2))))/2)),0)</f>
        <v>0</v>
      </c>
      <c r="W20" s="11" t="n">
        <f aca="false">SUMPRODUCT(MAX(ISNUMBER(SEARCH('Current Fall Actual'!$B$5:$B$9,$B20))*(Forecast!$D$3:$L$3&lt;($D20*24))*(Forecast!$D$3:$L$3+1&gt;($C20*24))*'Current Fall Actual'!$D$5:$L$9))</f>
        <v>0</v>
      </c>
    </row>
    <row r="21" customFormat="false" ht="15" hidden="false" customHeight="false" outlineLevel="0" collapsed="false">
      <c r="A21" s="32" t="s">
        <v>190</v>
      </c>
      <c r="B21" s="32" t="s">
        <v>191</v>
      </c>
      <c r="C21" s="33" t="n">
        <v>0.5625</v>
      </c>
      <c r="D21" s="33" t="n">
        <v>0.618055555555556</v>
      </c>
      <c r="E21" s="10" t="n">
        <f aca="false">(LEN(B21)-LEN(SUBSTITUTE(B21,",",""))+1)*(MIN(D21,17/24)-MAX(C21,8/24))*24</f>
        <v>2.66666666666667</v>
      </c>
      <c r="F21" s="11" t="n">
        <f aca="false">IFERROR(SUMPRODUCT(ISNUMBER(SEARCH(Forecast!$B$6:$B$10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*Forecast!$D$6:$L$10)/SUMPRODUCT(ISNUMBER(SEARCH(Forecast!$B$6:$B$10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),0)</f>
        <v>0.235937500000001</v>
      </c>
      <c r="G21" s="11" t="n">
        <f aca="false">SUMPRODUCT(MAX(ISNUMBER(SEARCH(Forecast!$B$6:$B$10,$B21))*(Forecast!$D$3:$L$3&lt;($D21*24))*(Forecast!$D$3:$L$3+1&gt;($C21*24))*Forecast!$D$6:$L$10))</f>
        <v>0.500000000000002</v>
      </c>
      <c r="H21" s="26" t="str">
        <f aca="false">IF(AND(F21&lt;=Assumptions!$B$15,G21&lt;=Assumptions!$B$16),"Open",IF(F21&lt;=Assumptions!$B$17,"Check first","Conflict"))</f>
        <v>Check first</v>
      </c>
      <c r="I21" s="34" t="n">
        <v>0</v>
      </c>
      <c r="J21" s="11" t="n">
        <f aca="false">IFERROR(SUMPRODUCT(ISNUMBER(SEARCH(Forecast!$B$15:$B$19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*Forecast!$D$15:$L$19)/SUMPRODUCT(ISNUMBER(SEARCH(Forecast!$B$15:$B$19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),0)</f>
        <v>0.461979166666666</v>
      </c>
      <c r="K21" s="11" t="n">
        <f aca="false">SUMPRODUCT(MAX(ISNUMBER(SEARCH(Forecast!$B$15:$B$19,$B21))*(Forecast!$D$3:$L$3&lt;($D21*24))*(Forecast!$D$3:$L$3+1&gt;($C21*24))*Forecast!$D$15:$L$19))</f>
        <v>0.575000000000002</v>
      </c>
      <c r="L21" s="26" t="str">
        <f aca="false">IF(AND(J21&lt;=Assumptions!$B$15,K21&lt;=Assumptions!$B$16),"Open",IF(J21&lt;=Assumptions!$B$17,"Check first","Conflict"))</f>
        <v>Conflict</v>
      </c>
      <c r="M21" s="34" t="n">
        <v>0</v>
      </c>
      <c r="N21" s="11" t="n">
        <f aca="false">IFERROR(SUMPRODUCT(ISNUMBER(SEARCH(Forecast!$B$24:$B$28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*Forecast!$D$24:$L$28)/SUMPRODUCT(ISNUMBER(SEARCH(Forecast!$B$24:$B$28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),0)</f>
        <v>0.257812499999999</v>
      </c>
      <c r="O21" s="11" t="n">
        <f aca="false">SUMPRODUCT(MAX(ISNUMBER(SEARCH(Forecast!$B$24:$B$28,$B21))*(Forecast!$D$3:$L$3&lt;($D21*24))*(Forecast!$D$3:$L$3+1&gt;($C21*24))*Forecast!$D$24:$L$28))</f>
        <v>0.625000000000002</v>
      </c>
      <c r="P21" s="26" t="str">
        <f aca="false">IF(AND(N21&lt;=Assumptions!$B$15,O21&lt;=Assumptions!$B$16),"Open",IF(N21&lt;=Assumptions!$B$17,"Check first","Conflict"))</f>
        <v>Check first</v>
      </c>
      <c r="Q21" s="34" t="n">
        <v>0</v>
      </c>
      <c r="R21" s="11" t="n">
        <f aca="false">IFERROR(SUMPRODUCT(ISNUMBER(SEARCH(Forecast!$B$33:$B$37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*Forecast!$D$33:$L$37)/SUMPRODUCT(ISNUMBER(SEARCH(Forecast!$B$33:$B$37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),0)</f>
        <v>0.10625</v>
      </c>
      <c r="S21" s="11" t="n">
        <f aca="false">SUMPRODUCT(MAX(ISNUMBER(SEARCH(Forecast!$B$33:$B$37,$B21))*(Forecast!$D$3:$L$3&lt;($D21*24))*(Forecast!$D$3:$L$3+1&gt;($C21*24))*Forecast!$D$33:$L$37))</f>
        <v>0.2</v>
      </c>
      <c r="T21" s="26" t="str">
        <f aca="false">IF(AND(R21&lt;=Assumptions!$B$15,S21&lt;=Assumptions!$B$16),"Open",IF(R21&lt;=Assumptions!$B$17,"Check first","Conflict"))</f>
        <v>Open</v>
      </c>
      <c r="U21" s="34" t="n">
        <v>1</v>
      </c>
      <c r="V21" s="11" t="n">
        <f aca="false">IFERROR(SUMPRODUCT(ISNUMBER(SEARCH('Current Fall Actual'!$B$5:$B$9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*'Current Fall Actual'!$D$5:$L$9)/SUMPRODUCT(ISNUMBER(SEARCH('Current Fall Actual'!$B$5:$B$9,$B21))*(((((($D21*24)+Forecast!$D$3:$L$3+1-ABS(($D21*24)-Forecast!$D$3:$L$3-1))/2)-((($C21*24)+Forecast!$D$3:$L$3+ABS(($C21*24)-Forecast!$D$3:$L$3))/2))+ABS((((($D21*24)+Forecast!$D$3:$L$3+1-ABS(($D21*24)-Forecast!$D$3:$L$3-1))/2)-((($C21*24)+Forecast!$D$3:$L$3+ABS(($C21*24)-Forecast!$D$3:$L$3))/2))))/2)),0)</f>
        <v>0.59375</v>
      </c>
      <c r="W21" s="11" t="n">
        <f aca="false">SUMPRODUCT(MAX(ISNUMBER(SEARCH('Current Fall Actual'!$B$5:$B$9,$B21))*(Forecast!$D$3:$L$3&lt;($D21*24))*(Forecast!$D$3:$L$3+1&gt;($C21*24))*'Current Fall Actual'!$D$5:$L$9))</f>
        <v>1</v>
      </c>
    </row>
    <row r="22" customFormat="false" ht="15" hidden="false" customHeight="false" outlineLevel="0" collapsed="false">
      <c r="A22" s="32" t="s">
        <v>190</v>
      </c>
      <c r="B22" s="32" t="s">
        <v>191</v>
      </c>
      <c r="C22" s="33" t="n">
        <v>0.625</v>
      </c>
      <c r="D22" s="33" t="n">
        <v>0.680555555555556</v>
      </c>
      <c r="E22" s="10" t="n">
        <f aca="false">(LEN(B22)-LEN(SUBSTITUTE(B22,",",""))+1)*(MIN(D22,17/24)-MAX(C22,8/24))*24</f>
        <v>2.66666666666667</v>
      </c>
      <c r="F22" s="11" t="n">
        <f aca="false">IFERROR(SUMPRODUCT(ISNUMBER(SEARCH(Forecast!$B$6:$B$10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*Forecast!$D$6:$L$10)/SUMPRODUCT(ISNUMBER(SEARCH(Forecast!$B$6:$B$10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),0)</f>
        <v>0.568749999999996</v>
      </c>
      <c r="G22" s="11" t="n">
        <f aca="false">SUMPRODUCT(MAX(ISNUMBER(SEARCH(Forecast!$B$6:$B$10,$B22))*(Forecast!$D$3:$L$3&lt;($D22*24))*(Forecast!$D$3:$L$3+1&gt;($C22*24))*Forecast!$D$6:$L$10))</f>
        <v>1</v>
      </c>
      <c r="H22" s="26" t="str">
        <f aca="false">IF(AND(F22&lt;=Assumptions!$B$15,G22&lt;=Assumptions!$B$16),"Open",IF(F22&lt;=Assumptions!$B$17,"Check first","Conflict"))</f>
        <v>Conflict</v>
      </c>
      <c r="I22" s="34" t="n">
        <v>0</v>
      </c>
      <c r="J22" s="11" t="n">
        <f aca="false">IFERROR(SUMPRODUCT(ISNUMBER(SEARCH(Forecast!$B$15:$B$19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*Forecast!$D$15:$L$19)/SUMPRODUCT(ISNUMBER(SEARCH(Forecast!$B$15:$B$19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),0)</f>
        <v>0.468749999999997</v>
      </c>
      <c r="K22" s="11" t="n">
        <f aca="false">SUMPRODUCT(MAX(ISNUMBER(SEARCH(Forecast!$B$15:$B$19,$B22))*(Forecast!$D$3:$L$3&lt;($D22*24))*(Forecast!$D$3:$L$3+1&gt;($C22*24))*Forecast!$D$15:$L$19))</f>
        <v>1</v>
      </c>
      <c r="L22" s="26" t="str">
        <f aca="false">IF(AND(J22&lt;=Assumptions!$B$15,K22&lt;=Assumptions!$B$16),"Open",IF(J22&lt;=Assumptions!$B$17,"Check first","Conflict"))</f>
        <v>Conflict</v>
      </c>
      <c r="M22" s="34" t="n">
        <v>0</v>
      </c>
      <c r="N22" s="11" t="n">
        <f aca="false">IFERROR(SUMPRODUCT(ISNUMBER(SEARCH(Forecast!$B$24:$B$28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*Forecast!$D$24:$L$28)/SUMPRODUCT(ISNUMBER(SEARCH(Forecast!$B$24:$B$28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),0)</f>
        <v>0.468749999999997</v>
      </c>
      <c r="O22" s="11" t="n">
        <f aca="false">SUMPRODUCT(MAX(ISNUMBER(SEARCH(Forecast!$B$24:$B$28,$B22))*(Forecast!$D$3:$L$3&lt;($D22*24))*(Forecast!$D$3:$L$3+1&gt;($C22*24))*Forecast!$D$24:$L$28))</f>
        <v>1</v>
      </c>
      <c r="P22" s="26" t="str">
        <f aca="false">IF(AND(N22&lt;=Assumptions!$B$15,O22&lt;=Assumptions!$B$16),"Open",IF(N22&lt;=Assumptions!$B$17,"Check first","Conflict"))</f>
        <v>Conflict</v>
      </c>
      <c r="Q22" s="34" t="n">
        <v>0</v>
      </c>
      <c r="R22" s="11" t="n">
        <f aca="false">IFERROR(SUMPRODUCT(ISNUMBER(SEARCH(Forecast!$B$33:$B$37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*Forecast!$D$33:$L$37)/SUMPRODUCT(ISNUMBER(SEARCH(Forecast!$B$33:$B$37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),0)</f>
        <v>0.343749999999998</v>
      </c>
      <c r="S22" s="11" t="n">
        <f aca="false">SUMPRODUCT(MAX(ISNUMBER(SEARCH(Forecast!$B$33:$B$37,$B22))*(Forecast!$D$3:$L$3&lt;($D22*24))*(Forecast!$D$3:$L$3+1&gt;($C22*24))*Forecast!$D$33:$L$37))</f>
        <v>0.8</v>
      </c>
      <c r="T22" s="26" t="str">
        <f aca="false">IF(AND(R22&lt;=Assumptions!$B$15,S22&lt;=Assumptions!$B$16),"Open",IF(R22&lt;=Assumptions!$B$17,"Check first","Conflict"))</f>
        <v>Check first</v>
      </c>
      <c r="U22" s="34" t="n">
        <v>1</v>
      </c>
      <c r="V22" s="11" t="n">
        <f aca="false">IFERROR(SUMPRODUCT(ISNUMBER(SEARCH('Current Fall Actual'!$B$5:$B$9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*'Current Fall Actual'!$D$5:$L$9)/SUMPRODUCT(ISNUMBER(SEARCH('Current Fall Actual'!$B$5:$B$9,$B22))*(((((($D22*24)+Forecast!$D$3:$L$3+1-ABS(($D22*24)-Forecast!$D$3:$L$3-1))/2)-((($C22*24)+Forecast!$D$3:$L$3+ABS(($C22*24)-Forecast!$D$3:$L$3))/2))+ABS((((($D22*24)+Forecast!$D$3:$L$3+1-ABS(($D22*24)-Forecast!$D$3:$L$3-1))/2)-((($C22*24)+Forecast!$D$3:$L$3+ABS(($C22*24)-Forecast!$D$3:$L$3))/2))))/2)),0)</f>
        <v>0.312499999999998</v>
      </c>
      <c r="W22" s="11" t="n">
        <f aca="false">SUMPRODUCT(MAX(ISNUMBER(SEARCH('Current Fall Actual'!$B$5:$B$9,$B22))*(Forecast!$D$3:$L$3&lt;($D22*24))*(Forecast!$D$3:$L$3+1&gt;($C22*24))*'Current Fall Actual'!$D$5:$L$9))</f>
        <v>1</v>
      </c>
    </row>
    <row r="23" customFormat="false" ht="15" hidden="false" customHeight="false" outlineLevel="0" collapsed="false">
      <c r="A23" s="32" t="s">
        <v>192</v>
      </c>
      <c r="B23" s="32" t="s">
        <v>70</v>
      </c>
      <c r="C23" s="33" t="n">
        <v>0.5625</v>
      </c>
      <c r="D23" s="33" t="n">
        <v>0.680555555555556</v>
      </c>
      <c r="E23" s="10" t="n">
        <f aca="false">(LEN(B23)-LEN(SUBSTITUTE(B23,",",""))+1)*(MIN(D23,17/24)-MAX(C23,8/24))*24</f>
        <v>2.83333333333333</v>
      </c>
      <c r="F23" s="11" t="n">
        <f aca="false">IFERROR(SUMPRODUCT(ISNUMBER(SEARCH(Forecast!$B$6:$B$10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*Forecast!$D$6:$L$10)/SUMPRODUCT(ISNUMBER(SEARCH(Forecast!$B$6:$B$10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),0)</f>
        <v>0.382352941176468</v>
      </c>
      <c r="G23" s="11" t="n">
        <f aca="false">SUMPRODUCT(MAX(ISNUMBER(SEARCH(Forecast!$B$6:$B$10,$B23))*(Forecast!$D$3:$L$3&lt;($D23*24))*(Forecast!$D$3:$L$3+1&gt;($C23*24))*Forecast!$D$6:$L$10))</f>
        <v>1</v>
      </c>
      <c r="H23" s="26" t="str">
        <f aca="false">IF(AND(F23&lt;=Assumptions!$B$15,G23&lt;=Assumptions!$B$16),"Open",IF(F23&lt;=Assumptions!$B$17,"Check first","Conflict"))</f>
        <v>Conflict</v>
      </c>
      <c r="I23" s="34" t="n">
        <v>0</v>
      </c>
      <c r="J23" s="11" t="n">
        <f aca="false">IFERROR(SUMPRODUCT(ISNUMBER(SEARCH(Forecast!$B$15:$B$19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*Forecast!$D$15:$L$19)/SUMPRODUCT(ISNUMBER(SEARCH(Forecast!$B$15:$B$19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),0)</f>
        <v>0.529411764705879</v>
      </c>
      <c r="K23" s="11" t="n">
        <f aca="false">SUMPRODUCT(MAX(ISNUMBER(SEARCH(Forecast!$B$15:$B$19,$B23))*(Forecast!$D$3:$L$3&lt;($D23*24))*(Forecast!$D$3:$L$3+1&gt;($C23*24))*Forecast!$D$15:$L$19))</f>
        <v>1</v>
      </c>
      <c r="L23" s="26" t="str">
        <f aca="false">IF(AND(J23&lt;=Assumptions!$B$15,K23&lt;=Assumptions!$B$16),"Open",IF(J23&lt;=Assumptions!$B$17,"Check first","Conflict"))</f>
        <v>Conflict</v>
      </c>
      <c r="M23" s="34" t="n">
        <v>0</v>
      </c>
      <c r="N23" s="11" t="n">
        <f aca="false">IFERROR(SUMPRODUCT(ISNUMBER(SEARCH(Forecast!$B$24:$B$28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*Forecast!$D$24:$L$28)/SUMPRODUCT(ISNUMBER(SEARCH(Forecast!$B$24:$B$28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),0)</f>
        <v>0.364705882352938</v>
      </c>
      <c r="O23" s="11" t="n">
        <f aca="false">SUMPRODUCT(MAX(ISNUMBER(SEARCH(Forecast!$B$24:$B$28,$B23))*(Forecast!$D$3:$L$3&lt;($D23*24))*(Forecast!$D$3:$L$3+1&gt;($C23*24))*Forecast!$D$24:$L$28))</f>
        <v>1</v>
      </c>
      <c r="P23" s="26" t="str">
        <f aca="false">IF(AND(N23&lt;=Assumptions!$B$15,O23&lt;=Assumptions!$B$16),"Open",IF(N23&lt;=Assumptions!$B$17,"Check first","Conflict"))</f>
        <v>Conflict</v>
      </c>
      <c r="Q23" s="34" t="n">
        <v>0</v>
      </c>
      <c r="R23" s="11" t="n">
        <f aca="false">IFERROR(SUMPRODUCT(ISNUMBER(SEARCH(Forecast!$B$33:$B$37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*Forecast!$D$33:$L$37)/SUMPRODUCT(ISNUMBER(SEARCH(Forecast!$B$33:$B$37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),0)</f>
        <v>0.158823529411764</v>
      </c>
      <c r="S23" s="11" t="n">
        <f aca="false">SUMPRODUCT(MAX(ISNUMBER(SEARCH(Forecast!$B$33:$B$37,$B23))*(Forecast!$D$3:$L$3&lt;($D23*24))*(Forecast!$D$3:$L$3+1&gt;($C23*24))*Forecast!$D$33:$L$37))</f>
        <v>0.3</v>
      </c>
      <c r="T23" s="26" t="str">
        <f aca="false">IF(AND(R23&lt;=Assumptions!$B$15,S23&lt;=Assumptions!$B$16),"Open",IF(R23&lt;=Assumptions!$B$17,"Check first","Conflict"))</f>
        <v>Open</v>
      </c>
      <c r="U23" s="34" t="n">
        <v>0</v>
      </c>
      <c r="V23" s="11" t="n">
        <f aca="false">IFERROR(SUMPRODUCT(ISNUMBER(SEARCH('Current Fall Actual'!$B$5:$B$9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*'Current Fall Actual'!$D$5:$L$9)/SUMPRODUCT(ISNUMBER(SEARCH('Current Fall Actual'!$B$5:$B$9,$B23))*(((((($D23*24)+Forecast!$D$3:$L$3+1-ABS(($D23*24)-Forecast!$D$3:$L$3-1))/2)-((($C23*24)+Forecast!$D$3:$L$3+ABS(($C23*24)-Forecast!$D$3:$L$3))/2))+ABS((((($D23*24)+Forecast!$D$3:$L$3+1-ABS(($D23*24)-Forecast!$D$3:$L$3-1))/2)-((($C23*24)+Forecast!$D$3:$L$3+ABS(($C23*24)-Forecast!$D$3:$L$3))/2))))/2)),0)</f>
        <v>0.382352941176469</v>
      </c>
      <c r="W23" s="11" t="n">
        <f aca="false">SUMPRODUCT(MAX(ISNUMBER(SEARCH('Current Fall Actual'!$B$5:$B$9,$B23))*(Forecast!$D$3:$L$3&lt;($D23*24))*(Forecast!$D$3:$L$3+1&gt;($C23*24))*'Current Fall Actual'!$D$5:$L$9))</f>
        <v>1</v>
      </c>
    </row>
    <row r="24" customFormat="false" ht="15" hidden="false" customHeight="false" outlineLevel="0" collapsed="false">
      <c r="A24" s="32" t="s">
        <v>192</v>
      </c>
      <c r="B24" s="32" t="s">
        <v>94</v>
      </c>
      <c r="C24" s="33" t="n">
        <v>0.5625</v>
      </c>
      <c r="D24" s="33" t="n">
        <v>0.680555555555556</v>
      </c>
      <c r="E24" s="10" t="n">
        <f aca="false">(LEN(B24)-LEN(SUBSTITUTE(B24,",",""))+1)*(MIN(D24,17/24)-MAX(C24,8/24))*24</f>
        <v>2.83333333333333</v>
      </c>
      <c r="F24" s="11" t="n">
        <f aca="false">IFERROR(SUMPRODUCT(ISNUMBER(SEARCH(Forecast!$B$6:$B$10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*Forecast!$D$6:$L$10)/SUMPRODUCT(ISNUMBER(SEARCH(Forecast!$B$6:$B$10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),0)</f>
        <v>0.752941176470589</v>
      </c>
      <c r="G24" s="11" t="n">
        <f aca="false">SUMPRODUCT(MAX(ISNUMBER(SEARCH(Forecast!$B$6:$B$10,$B24))*(Forecast!$D$3:$L$3&lt;($D24*24))*(Forecast!$D$3:$L$3+1&gt;($C24*24))*Forecast!$D$6:$L$10))</f>
        <v>1</v>
      </c>
      <c r="H24" s="26" t="str">
        <f aca="false">IF(AND(F24&lt;=Assumptions!$B$15,G24&lt;=Assumptions!$B$16),"Open",IF(F24&lt;=Assumptions!$B$17,"Check first","Conflict"))</f>
        <v>Conflict</v>
      </c>
      <c r="I24" s="34" t="n">
        <v>0</v>
      </c>
      <c r="J24" s="11" t="n">
        <f aca="false">IFERROR(SUMPRODUCT(ISNUMBER(SEARCH(Forecast!$B$15:$B$19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*Forecast!$D$15:$L$19)/SUMPRODUCT(ISNUMBER(SEARCH(Forecast!$B$15:$B$19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),0)</f>
        <v>0.770588235294118</v>
      </c>
      <c r="K24" s="11" t="n">
        <f aca="false">SUMPRODUCT(MAX(ISNUMBER(SEARCH(Forecast!$B$15:$B$19,$B24))*(Forecast!$D$3:$L$3&lt;($D24*24))*(Forecast!$D$3:$L$3+1&gt;($C24*24))*Forecast!$D$15:$L$19))</f>
        <v>1</v>
      </c>
      <c r="L24" s="26" t="str">
        <f aca="false">IF(AND(J24&lt;=Assumptions!$B$15,K24&lt;=Assumptions!$B$16),"Open",IF(J24&lt;=Assumptions!$B$17,"Check first","Conflict"))</f>
        <v>Conflict</v>
      </c>
      <c r="M24" s="34" t="n">
        <v>0</v>
      </c>
      <c r="N24" s="11" t="n">
        <f aca="false">IFERROR(SUMPRODUCT(ISNUMBER(SEARCH(Forecast!$B$24:$B$28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*Forecast!$D$24:$L$28)/SUMPRODUCT(ISNUMBER(SEARCH(Forecast!$B$24:$B$28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),0)</f>
        <v>0.752941176470589</v>
      </c>
      <c r="O24" s="11" t="n">
        <f aca="false">SUMPRODUCT(MAX(ISNUMBER(SEARCH(Forecast!$B$24:$B$28,$B24))*(Forecast!$D$3:$L$3&lt;($D24*24))*(Forecast!$D$3:$L$3+1&gt;($C24*24))*Forecast!$D$24:$L$28))</f>
        <v>1</v>
      </c>
      <c r="P24" s="26" t="str">
        <f aca="false">IF(AND(N24&lt;=Assumptions!$B$15,O24&lt;=Assumptions!$B$16),"Open",IF(N24&lt;=Assumptions!$B$17,"Check first","Conflict"))</f>
        <v>Conflict</v>
      </c>
      <c r="Q24" s="34" t="n">
        <v>0</v>
      </c>
      <c r="R24" s="11" t="n">
        <f aca="false">IFERROR(SUMPRODUCT(ISNUMBER(SEARCH(Forecast!$B$33:$B$37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*Forecast!$D$33:$L$37)/SUMPRODUCT(ISNUMBER(SEARCH(Forecast!$B$33:$B$37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),0)</f>
        <v>0.132352941176471</v>
      </c>
      <c r="S24" s="11" t="n">
        <f aca="false">SUMPRODUCT(MAX(ISNUMBER(SEARCH(Forecast!$B$33:$B$37,$B24))*(Forecast!$D$3:$L$3&lt;($D24*24))*(Forecast!$D$3:$L$3+1&gt;($C24*24))*Forecast!$D$33:$L$37))</f>
        <v>0.75</v>
      </c>
      <c r="T24" s="26" t="str">
        <f aca="false">IF(AND(R24&lt;=Assumptions!$B$15,S24&lt;=Assumptions!$B$16),"Open",IF(R24&lt;=Assumptions!$B$17,"Check first","Conflict"))</f>
        <v>Check first</v>
      </c>
      <c r="U24" s="34" t="n">
        <v>0</v>
      </c>
      <c r="V24" s="11" t="n">
        <f aca="false">IFERROR(SUMPRODUCT(ISNUMBER(SEARCH('Current Fall Actual'!$B$5:$B$9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*'Current Fall Actual'!$D$5:$L$9)/SUMPRODUCT(ISNUMBER(SEARCH('Current Fall Actual'!$B$5:$B$9,$B24))*(((((($D24*24)+Forecast!$D$3:$L$3+1-ABS(($D24*24)-Forecast!$D$3:$L$3-1))/2)-((($C24*24)+Forecast!$D$3:$L$3+ABS(($C24*24)-Forecast!$D$3:$L$3))/2))+ABS((((($D24*24)+Forecast!$D$3:$L$3+1-ABS(($D24*24)-Forecast!$D$3:$L$3-1))/2)-((($C24*24)+Forecast!$D$3:$L$3+ABS(($C24*24)-Forecast!$D$3:$L$3))/2))))/2)),0)</f>
        <v>0.647058823529411</v>
      </c>
      <c r="W24" s="11" t="n">
        <f aca="false">SUMPRODUCT(MAX(ISNUMBER(SEARCH('Current Fall Actual'!$B$5:$B$9,$B24))*(Forecast!$D$3:$L$3&lt;($D24*24))*(Forecast!$D$3:$L$3+1&gt;($C24*24))*'Current Fall Actual'!$D$5:$L$9))</f>
        <v>1</v>
      </c>
    </row>
    <row r="25" customFormat="false" ht="15" hidden="false" customHeight="false" outlineLevel="0" collapsed="false">
      <c r="A25" s="32" t="s">
        <v>192</v>
      </c>
      <c r="B25" s="32" t="s">
        <v>105</v>
      </c>
      <c r="C25" s="33" t="n">
        <v>0.5625</v>
      </c>
      <c r="D25" s="33" t="n">
        <v>0.680555555555556</v>
      </c>
      <c r="E25" s="10" t="n">
        <f aca="false">(LEN(B25)-LEN(SUBSTITUTE(B25,",",""))+1)*(MIN(D25,17/24)-MAX(C25,8/24))*24</f>
        <v>2.83333333333333</v>
      </c>
      <c r="F25" s="11" t="n">
        <f aca="false">IFERROR(SUMPRODUCT(ISNUMBER(SEARCH(Forecast!$B$6:$B$10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*Forecast!$D$6:$L$10)/SUMPRODUCT(ISNUMBER(SEARCH(Forecast!$B$6:$B$10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),0)</f>
        <v>0.386764705882352</v>
      </c>
      <c r="G25" s="11" t="n">
        <f aca="false">SUMPRODUCT(MAX(ISNUMBER(SEARCH(Forecast!$B$6:$B$10,$B25))*(Forecast!$D$3:$L$3&lt;($D25*24))*(Forecast!$D$3:$L$3+1&gt;($C25*24))*Forecast!$D$6:$L$10))</f>
        <v>0.7</v>
      </c>
      <c r="H25" s="26" t="str">
        <f aca="false">IF(AND(F25&lt;=Assumptions!$B$15,G25&lt;=Assumptions!$B$16),"Open",IF(F25&lt;=Assumptions!$B$17,"Check first","Conflict"))</f>
        <v>Conflict</v>
      </c>
      <c r="I25" s="34" t="n">
        <v>0</v>
      </c>
      <c r="J25" s="11" t="n">
        <f aca="false">IFERROR(SUMPRODUCT(ISNUMBER(SEARCH(Forecast!$B$15:$B$19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*Forecast!$D$15:$L$19)/SUMPRODUCT(ISNUMBER(SEARCH(Forecast!$B$15:$B$19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),0)</f>
        <v>0.395588235294117</v>
      </c>
      <c r="K25" s="11" t="n">
        <f aca="false">SUMPRODUCT(MAX(ISNUMBER(SEARCH(Forecast!$B$15:$B$19,$B25))*(Forecast!$D$3:$L$3&lt;($D25*24))*(Forecast!$D$3:$L$3+1&gt;($C25*24))*Forecast!$D$15:$L$19))</f>
        <v>0.575000000000002</v>
      </c>
      <c r="L25" s="26" t="str">
        <f aca="false">IF(AND(J25&lt;=Assumptions!$B$15,K25&lt;=Assumptions!$B$16),"Open",IF(J25&lt;=Assumptions!$B$17,"Check first","Conflict"))</f>
        <v>Conflict</v>
      </c>
      <c r="M25" s="34" t="n">
        <v>0</v>
      </c>
      <c r="N25" s="11" t="n">
        <f aca="false">IFERROR(SUMPRODUCT(ISNUMBER(SEARCH(Forecast!$B$24:$B$28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*Forecast!$D$24:$L$28)/SUMPRODUCT(ISNUMBER(SEARCH(Forecast!$B$24:$B$28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),0)</f>
        <v>0.345588235294116</v>
      </c>
      <c r="O25" s="11" t="n">
        <f aca="false">SUMPRODUCT(MAX(ISNUMBER(SEARCH(Forecast!$B$24:$B$28,$B25))*(Forecast!$D$3:$L$3&lt;($D25*24))*(Forecast!$D$3:$L$3+1&gt;($C25*24))*Forecast!$D$24:$L$28))</f>
        <v>0.625000000000002</v>
      </c>
      <c r="P25" s="26" t="str">
        <f aca="false">IF(AND(N25&lt;=Assumptions!$B$15,O25&lt;=Assumptions!$B$16),"Open",IF(N25&lt;=Assumptions!$B$17,"Check first","Conflict"))</f>
        <v>Check first</v>
      </c>
      <c r="Q25" s="34" t="n">
        <v>0</v>
      </c>
      <c r="R25" s="11" t="n">
        <f aca="false">IFERROR(SUMPRODUCT(ISNUMBER(SEARCH(Forecast!$B$33:$B$37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*Forecast!$D$33:$L$37)/SUMPRODUCT(ISNUMBER(SEARCH(Forecast!$B$33:$B$37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),0)</f>
        <v>0.270588235294115</v>
      </c>
      <c r="S25" s="11" t="n">
        <f aca="false">SUMPRODUCT(MAX(ISNUMBER(SEARCH(Forecast!$B$33:$B$37,$B25))*(Forecast!$D$3:$L$3&lt;($D25*24))*(Forecast!$D$3:$L$3+1&gt;($C25*24))*Forecast!$D$33:$L$37))</f>
        <v>0.8</v>
      </c>
      <c r="T25" s="26" t="str">
        <f aca="false">IF(AND(R25&lt;=Assumptions!$B$15,S25&lt;=Assumptions!$B$16),"Open",IF(R25&lt;=Assumptions!$B$17,"Check first","Conflict"))</f>
        <v>Check first</v>
      </c>
      <c r="U25" s="34" t="n">
        <v>0</v>
      </c>
      <c r="V25" s="11" t="n">
        <f aca="false">IFERROR(SUMPRODUCT(ISNUMBER(SEARCH('Current Fall Actual'!$B$5:$B$9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*'Current Fall Actual'!$D$5:$L$9)/SUMPRODUCT(ISNUMBER(SEARCH('Current Fall Actual'!$B$5:$B$9,$B25))*(((((($D25*24)+Forecast!$D$3:$L$3+1-ABS(($D25*24)-Forecast!$D$3:$L$3-1))/2)-((($C25*24)+Forecast!$D$3:$L$3+ABS(($C25*24)-Forecast!$D$3:$L$3))/2))+ABS((((($D25*24)+Forecast!$D$3:$L$3+1-ABS(($D25*24)-Forecast!$D$3:$L$3-1))/2)-((($C25*24)+Forecast!$D$3:$L$3+ABS(($C25*24)-Forecast!$D$3:$L$3))/2))))/2)),0)</f>
        <v>0.529411764705883</v>
      </c>
      <c r="W25" s="11" t="n">
        <f aca="false">SUMPRODUCT(MAX(ISNUMBER(SEARCH('Current Fall Actual'!$B$5:$B$9,$B25))*(Forecast!$D$3:$L$3&lt;($D25*24))*(Forecast!$D$3:$L$3+1&gt;($C25*24))*'Current Fall Actual'!$D$5:$L$9))</f>
        <v>1</v>
      </c>
    </row>
    <row r="26" customFormat="false" ht="15" hidden="false" customHeight="false" outlineLevel="0" collapsed="false">
      <c r="A26" s="32" t="s">
        <v>192</v>
      </c>
      <c r="B26" s="32" t="s">
        <v>117</v>
      </c>
      <c r="C26" s="33" t="n">
        <v>0.5625</v>
      </c>
      <c r="D26" s="33" t="n">
        <v>0.680555555555556</v>
      </c>
      <c r="E26" s="10" t="n">
        <f aca="false">(LEN(B26)-LEN(SUBSTITUTE(B26,",",""))+1)*(MIN(D26,17/24)-MAX(C26,8/24))*24</f>
        <v>2.83333333333333</v>
      </c>
      <c r="F26" s="11" t="n">
        <f aca="false">IFERROR(SUMPRODUCT(ISNUMBER(SEARCH(Forecast!$B$6:$B$10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*Forecast!$D$6:$L$10)/SUMPRODUCT(ISNUMBER(SEARCH(Forecast!$B$6:$B$10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),0)</f>
        <v>0.46764705882353</v>
      </c>
      <c r="G26" s="11" t="n">
        <f aca="false">SUMPRODUCT(MAX(ISNUMBER(SEARCH(Forecast!$B$6:$B$10,$B26))*(Forecast!$D$3:$L$3&lt;($D26*24))*(Forecast!$D$3:$L$3+1&gt;($C26*24))*Forecast!$D$6:$L$10))</f>
        <v>0.999999999999999</v>
      </c>
      <c r="H26" s="26" t="str">
        <f aca="false">IF(AND(F26&lt;=Assumptions!$B$15,G26&lt;=Assumptions!$B$16),"Open",IF(F26&lt;=Assumptions!$B$17,"Check first","Conflict"))</f>
        <v>Conflict</v>
      </c>
      <c r="I26" s="34" t="n">
        <v>0</v>
      </c>
      <c r="J26" s="11" t="n">
        <f aca="false">IFERROR(SUMPRODUCT(ISNUMBER(SEARCH(Forecast!$B$15:$B$19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*Forecast!$D$15:$L$19)/SUMPRODUCT(ISNUMBER(SEARCH(Forecast!$B$15:$B$19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),0)</f>
        <v>0.46764705882353</v>
      </c>
      <c r="K26" s="11" t="n">
        <f aca="false">SUMPRODUCT(MAX(ISNUMBER(SEARCH(Forecast!$B$15:$B$19,$B26))*(Forecast!$D$3:$L$3&lt;($D26*24))*(Forecast!$D$3:$L$3+1&gt;($C26*24))*Forecast!$D$15:$L$19))</f>
        <v>0.999999999999999</v>
      </c>
      <c r="L26" s="26" t="str">
        <f aca="false">IF(AND(J26&lt;=Assumptions!$B$15,K26&lt;=Assumptions!$B$16),"Open",IF(J26&lt;=Assumptions!$B$17,"Check first","Conflict"))</f>
        <v>Conflict</v>
      </c>
      <c r="M26" s="34" t="n">
        <v>0</v>
      </c>
      <c r="N26" s="11" t="n">
        <f aca="false">IFERROR(SUMPRODUCT(ISNUMBER(SEARCH(Forecast!$B$24:$B$28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*Forecast!$D$24:$L$28)/SUMPRODUCT(ISNUMBER(SEARCH(Forecast!$B$24:$B$28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),0)</f>
        <v>0.758823529411764</v>
      </c>
      <c r="O26" s="11" t="n">
        <f aca="false">SUMPRODUCT(MAX(ISNUMBER(SEARCH(Forecast!$B$24:$B$28,$B26))*(Forecast!$D$3:$L$3&lt;($D26*24))*(Forecast!$D$3:$L$3+1&gt;($C26*24))*Forecast!$D$24:$L$28))</f>
        <v>0.999999999999999</v>
      </c>
      <c r="P26" s="26" t="str">
        <f aca="false">IF(AND(N26&lt;=Assumptions!$B$15,O26&lt;=Assumptions!$B$16),"Open",IF(N26&lt;=Assumptions!$B$17,"Check first","Conflict"))</f>
        <v>Conflict</v>
      </c>
      <c r="Q26" s="34" t="n">
        <v>0</v>
      </c>
      <c r="R26" s="11" t="n">
        <f aca="false">IFERROR(SUMPRODUCT(ISNUMBER(SEARCH(Forecast!$B$33:$B$37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*Forecast!$D$33:$L$37)/SUMPRODUCT(ISNUMBER(SEARCH(Forecast!$B$33:$B$37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),0)</f>
        <v>0.226470588235295</v>
      </c>
      <c r="S26" s="11" t="n">
        <f aca="false">SUMPRODUCT(MAX(ISNUMBER(SEARCH(Forecast!$B$33:$B$37,$B26))*(Forecast!$D$3:$L$3&lt;($D26*24))*(Forecast!$D$3:$L$3+1&gt;($C26*24))*Forecast!$D$33:$L$37))</f>
        <v>0.3</v>
      </c>
      <c r="T26" s="26" t="str">
        <f aca="false">IF(AND(R26&lt;=Assumptions!$B$15,S26&lt;=Assumptions!$B$16),"Open",IF(R26&lt;=Assumptions!$B$17,"Check first","Conflict"))</f>
        <v>Check first</v>
      </c>
      <c r="U26" s="34" t="n">
        <v>0</v>
      </c>
      <c r="V26" s="11" t="n">
        <f aca="false">IFERROR(SUMPRODUCT(ISNUMBER(SEARCH('Current Fall Actual'!$B$5:$B$9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*'Current Fall Actual'!$D$5:$L$9)/SUMPRODUCT(ISNUMBER(SEARCH('Current Fall Actual'!$B$5:$B$9,$B26))*(((((($D26*24)+Forecast!$D$3:$L$3+1-ABS(($D26*24)-Forecast!$D$3:$L$3-1))/2)-((($C26*24)+Forecast!$D$3:$L$3+ABS(($C26*24)-Forecast!$D$3:$L$3))/2))+ABS((((($D26*24)+Forecast!$D$3:$L$3+1-ABS(($D26*24)-Forecast!$D$3:$L$3-1))/2)-((($C26*24)+Forecast!$D$3:$L$3+ABS(($C26*24)-Forecast!$D$3:$L$3))/2))))/2)),0)</f>
        <v>0.441176470588236</v>
      </c>
      <c r="W26" s="11" t="n">
        <f aca="false">SUMPRODUCT(MAX(ISNUMBER(SEARCH('Current Fall Actual'!$B$5:$B$9,$B26))*(Forecast!$D$3:$L$3&lt;($D26*24))*(Forecast!$D$3:$L$3+1&gt;($C26*24))*'Current Fall Actual'!$D$5:$L$9))</f>
        <v>0.999999999999999</v>
      </c>
    </row>
    <row r="27" customFormat="false" ht="15" hidden="false" customHeight="false" outlineLevel="0" collapsed="false">
      <c r="A27" s="32" t="s">
        <v>192</v>
      </c>
      <c r="B27" s="32" t="s">
        <v>118</v>
      </c>
      <c r="C27" s="33" t="n">
        <v>0.5625</v>
      </c>
      <c r="D27" s="33" t="n">
        <v>0.680555555555556</v>
      </c>
      <c r="E27" s="10" t="n">
        <f aca="false">(LEN(B27)-LEN(SUBSTITUTE(B27,",",""))+1)*(MIN(D27,17/24)-MAX(C27,8/24))*24</f>
        <v>2.83333333333333</v>
      </c>
      <c r="F27" s="11" t="n">
        <f aca="false">IFERROR(SUMPRODUCT(ISNUMBER(SEARCH(Forecast!$B$6:$B$10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*Forecast!$D$6:$L$10)/SUMPRODUCT(ISNUMBER(SEARCH(Forecast!$B$6:$B$10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),0)</f>
        <v>0.382352941176468</v>
      </c>
      <c r="G27" s="11" t="n">
        <f aca="false">SUMPRODUCT(MAX(ISNUMBER(SEARCH(Forecast!$B$6:$B$10,$B27))*(Forecast!$D$3:$L$3&lt;($D27*24))*(Forecast!$D$3:$L$3+1&gt;($C27*24))*Forecast!$D$6:$L$10))</f>
        <v>1</v>
      </c>
      <c r="H27" s="26" t="str">
        <f aca="false">IF(AND(F27&lt;=Assumptions!$B$15,G27&lt;=Assumptions!$B$16),"Open",IF(F27&lt;=Assumptions!$B$17,"Check first","Conflict"))</f>
        <v>Conflict</v>
      </c>
      <c r="I27" s="34" t="n">
        <v>0</v>
      </c>
      <c r="J27" s="11" t="n">
        <f aca="false">IFERROR(SUMPRODUCT(ISNUMBER(SEARCH(Forecast!$B$15:$B$19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*Forecast!$D$15:$L$19)/SUMPRODUCT(ISNUMBER(SEARCH(Forecast!$B$15:$B$19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),0)</f>
        <v>0.585294117647057</v>
      </c>
      <c r="K27" s="11" t="n">
        <f aca="false">SUMPRODUCT(MAX(ISNUMBER(SEARCH(Forecast!$B$15:$B$19,$B27))*(Forecast!$D$3:$L$3&lt;($D27*24))*(Forecast!$D$3:$L$3+1&gt;($C27*24))*Forecast!$D$15:$L$19))</f>
        <v>1</v>
      </c>
      <c r="L27" s="26" t="str">
        <f aca="false">IF(AND(J27&lt;=Assumptions!$B$15,K27&lt;=Assumptions!$B$16),"Open",IF(J27&lt;=Assumptions!$B$17,"Check first","Conflict"))</f>
        <v>Conflict</v>
      </c>
      <c r="M27" s="34" t="n">
        <v>0</v>
      </c>
      <c r="N27" s="11" t="n">
        <f aca="false">IFERROR(SUMPRODUCT(ISNUMBER(SEARCH(Forecast!$B$24:$B$28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*Forecast!$D$24:$L$28)/SUMPRODUCT(ISNUMBER(SEARCH(Forecast!$B$24:$B$28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),0)</f>
        <v>0.426470588235292</v>
      </c>
      <c r="O27" s="11" t="n">
        <f aca="false">SUMPRODUCT(MAX(ISNUMBER(SEARCH(Forecast!$B$24:$B$28,$B27))*(Forecast!$D$3:$L$3&lt;($D27*24))*(Forecast!$D$3:$L$3+1&gt;($C27*24))*Forecast!$D$24:$L$28))</f>
        <v>1</v>
      </c>
      <c r="P27" s="26" t="str">
        <f aca="false">IF(AND(N27&lt;=Assumptions!$B$15,O27&lt;=Assumptions!$B$16),"Open",IF(N27&lt;=Assumptions!$B$17,"Check first","Conflict"))</f>
        <v>Conflict</v>
      </c>
      <c r="Q27" s="34" t="n">
        <v>0</v>
      </c>
      <c r="R27" s="11" t="n">
        <f aca="false">IFERROR(SUMPRODUCT(ISNUMBER(SEARCH(Forecast!$B$33:$B$37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*Forecast!$D$33:$L$37)/SUMPRODUCT(ISNUMBER(SEARCH(Forecast!$B$33:$B$37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),0)</f>
        <v>0.211764705882353</v>
      </c>
      <c r="S27" s="11" t="n">
        <f aca="false">SUMPRODUCT(MAX(ISNUMBER(SEARCH(Forecast!$B$33:$B$37,$B27))*(Forecast!$D$3:$L$3&lt;($D27*24))*(Forecast!$D$3:$L$3+1&gt;($C27*24))*Forecast!$D$33:$L$37))</f>
        <v>0.3</v>
      </c>
      <c r="T27" s="26" t="str">
        <f aca="false">IF(AND(R27&lt;=Assumptions!$B$15,S27&lt;=Assumptions!$B$16),"Open",IF(R27&lt;=Assumptions!$B$17,"Check first","Conflict"))</f>
        <v>Check first</v>
      </c>
      <c r="U27" s="34" t="n">
        <v>1</v>
      </c>
      <c r="V27" s="11" t="n">
        <f aca="false">IFERROR(SUMPRODUCT(ISNUMBER(SEARCH('Current Fall Actual'!$B$5:$B$9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*'Current Fall Actual'!$D$5:$L$9)/SUMPRODUCT(ISNUMBER(SEARCH('Current Fall Actual'!$B$5:$B$9,$B27))*(((((($D27*24)+Forecast!$D$3:$L$3+1-ABS(($D27*24)-Forecast!$D$3:$L$3-1))/2)-((($C27*24)+Forecast!$D$3:$L$3+ABS(($C27*24)-Forecast!$D$3:$L$3))/2))+ABS((((($D27*24)+Forecast!$D$3:$L$3+1-ABS(($D27*24)-Forecast!$D$3:$L$3-1))/2)-((($C27*24)+Forecast!$D$3:$L$3+ABS(($C27*24)-Forecast!$D$3:$L$3))/2))))/2)),0)</f>
        <v>0.11764705882353</v>
      </c>
      <c r="W27" s="11" t="n">
        <f aca="false">SUMPRODUCT(MAX(ISNUMBER(SEARCH('Current Fall Actual'!$B$5:$B$9,$B27))*(Forecast!$D$3:$L$3&lt;($D27*24))*(Forecast!$D$3:$L$3+1&gt;($C27*24))*'Current Fall Actual'!$D$5:$L$9))</f>
        <v>0.500000000000003</v>
      </c>
    </row>
    <row r="29" customFormat="false" ht="15" hidden="false" customHeight="false" outlineLevel="0" collapsed="false">
      <c r="A29" s="7" t="s">
        <v>193</v>
      </c>
    </row>
    <row r="30" customFormat="false" ht="15" hidden="false" customHeight="false" outlineLevel="0" collapsed="false">
      <c r="A30" s="7" t="s">
        <v>194</v>
      </c>
    </row>
    <row r="31" customFormat="false" ht="15" hidden="false" customHeight="false" outlineLevel="0" collapsed="false">
      <c r="A31" s="7" t="s">
        <v>195</v>
      </c>
    </row>
  </sheetData>
  <conditionalFormatting sqref="F5:G27">
    <cfRule type="colorScale" priority="2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J5:K27">
    <cfRule type="colorScale" priority="3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N5:O27">
    <cfRule type="colorScale" priority="4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R5:S27">
    <cfRule type="colorScale" priority="5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V5:W27">
    <cfRule type="colorScale" priority="6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H5:H27">
    <cfRule type="cellIs" priority="7" operator="equal" aboveAverage="0" equalAverage="0" bottom="0" percent="0" rank="0" text="" dxfId="0">
      <formula>"Open"</formula>
    </cfRule>
    <cfRule type="cellIs" priority="8" operator="equal" aboveAverage="0" equalAverage="0" bottom="0" percent="0" rank="0" text="" dxfId="1">
      <formula>"Conflict"</formula>
    </cfRule>
    <cfRule type="cellIs" priority="9" operator="equal" aboveAverage="0" equalAverage="0" bottom="0" percent="0" rank="0" text="" dxfId="2">
      <formula>"Check first"</formula>
    </cfRule>
  </conditionalFormatting>
  <conditionalFormatting sqref="L5:L27">
    <cfRule type="cellIs" priority="10" operator="equal" aboveAverage="0" equalAverage="0" bottom="0" percent="0" rank="0" text="" dxfId="0">
      <formula>"Open"</formula>
    </cfRule>
    <cfRule type="cellIs" priority="11" operator="equal" aboveAverage="0" equalAverage="0" bottom="0" percent="0" rank="0" text="" dxfId="1">
      <formula>"Conflict"</formula>
    </cfRule>
    <cfRule type="cellIs" priority="12" operator="equal" aboveAverage="0" equalAverage="0" bottom="0" percent="0" rank="0" text="" dxfId="2">
      <formula>"Check first"</formula>
    </cfRule>
  </conditionalFormatting>
  <conditionalFormatting sqref="P5:P27">
    <cfRule type="cellIs" priority="13" operator="equal" aboveAverage="0" equalAverage="0" bottom="0" percent="0" rank="0" text="" dxfId="0">
      <formula>"Open"</formula>
    </cfRule>
    <cfRule type="cellIs" priority="14" operator="equal" aboveAverage="0" equalAverage="0" bottom="0" percent="0" rank="0" text="" dxfId="1">
      <formula>"Conflict"</formula>
    </cfRule>
    <cfRule type="cellIs" priority="15" operator="equal" aboveAverage="0" equalAverage="0" bottom="0" percent="0" rank="0" text="" dxfId="2">
      <formula>"Check first"</formula>
    </cfRule>
  </conditionalFormatting>
  <conditionalFormatting sqref="T5:T27">
    <cfRule type="cellIs" priority="16" operator="equal" aboveAverage="0" equalAverage="0" bottom="0" percent="0" rank="0" text="" dxfId="0">
      <formula>"Open"</formula>
    </cfRule>
    <cfRule type="cellIs" priority="17" operator="equal" aboveAverage="0" equalAverage="0" bottom="0" percent="0" rank="0" text="" dxfId="1">
      <formula>"Conflict"</formula>
    </cfRule>
    <cfRule type="cellIs" priority="18" operator="equal" aboveAverage="0" equalAverage="0" bottom="0" percent="0" rank="0" text="" dxfId="2">
      <formula>"Check first"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12" min="3" style="0" width="10"/>
    <col collapsed="false" customWidth="true" hidden="false" outlineLevel="0" max="14" min="13" style="0" width="11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7" t="s">
        <v>197</v>
      </c>
    </row>
    <row r="3" customFormat="false" ht="15" hidden="false" customHeight="false" outlineLevel="0" collapsed="false">
      <c r="D3" s="35" t="n">
        <v>8</v>
      </c>
      <c r="E3" s="35" t="n">
        <v>9</v>
      </c>
      <c r="F3" s="35" t="n">
        <v>10</v>
      </c>
      <c r="G3" s="35" t="n">
        <v>11</v>
      </c>
      <c r="H3" s="35" t="n">
        <v>12</v>
      </c>
      <c r="I3" s="35" t="n">
        <v>13</v>
      </c>
      <c r="J3" s="35" t="n">
        <v>14</v>
      </c>
      <c r="K3" s="35" t="n">
        <v>15</v>
      </c>
      <c r="L3" s="35" t="n">
        <v>16</v>
      </c>
    </row>
    <row r="4" customFormat="false" ht="15" hidden="false" customHeight="false" outlineLevel="0" collapsed="false">
      <c r="A4" s="36" t="s">
        <v>198</v>
      </c>
    </row>
    <row r="5" customFormat="false" ht="30" hidden="false" customHeight="true" outlineLevel="0" collapsed="false">
      <c r="A5" s="8" t="s">
        <v>31</v>
      </c>
      <c r="B5" s="8" t="s">
        <v>58</v>
      </c>
      <c r="C5" s="8" t="s">
        <v>199</v>
      </c>
      <c r="D5" s="8" t="s">
        <v>71</v>
      </c>
      <c r="E5" s="8" t="s">
        <v>74</v>
      </c>
      <c r="F5" s="8" t="s">
        <v>76</v>
      </c>
      <c r="G5" s="8" t="s">
        <v>78</v>
      </c>
      <c r="H5" s="8" t="s">
        <v>79</v>
      </c>
      <c r="I5" s="8" t="s">
        <v>81</v>
      </c>
      <c r="J5" s="8" t="s">
        <v>85</v>
      </c>
      <c r="K5" s="8" t="s">
        <v>88</v>
      </c>
      <c r="L5" s="8" t="s">
        <v>91</v>
      </c>
      <c r="M5" s="8" t="s">
        <v>200</v>
      </c>
      <c r="N5" s="8" t="s">
        <v>201</v>
      </c>
    </row>
    <row r="6" customFormat="false" ht="15" hidden="false" customHeight="false" outlineLevel="0" collapsed="false">
      <c r="A6" s="26" t="s">
        <v>42</v>
      </c>
      <c r="B6" s="26" t="s">
        <v>70</v>
      </c>
      <c r="C6" s="10" t="n">
        <f aca="false">M6-Forecast!M6</f>
        <v>2.5</v>
      </c>
      <c r="D6" s="37" t="n">
        <f aca="false">Forecast!D6+SUMPRODUCT('Registrar Patterns'!$I$5:$I$27*ISNUMBER(SEARCH($B6,'Registrar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0.65</v>
      </c>
      <c r="E6" s="37" t="n">
        <f aca="false">Forecast!E6+SUMPRODUCT('Registrar Patterns'!$I$5:$I$27*ISNUMBER(SEARCH($B6,'Registrar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0.833333333333334</v>
      </c>
      <c r="F6" s="37" t="n">
        <f aca="false">Forecast!F6+SUMPRODUCT('Registrar Patterns'!$I$5:$I$27*ISNUMBER(SEARCH($B6,'Registrar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0.849999999999999</v>
      </c>
      <c r="G6" s="37" t="n">
        <f aca="false">Forecast!G6+SUMPRODUCT('Registrar Patterns'!$I$5:$I$27*ISNUMBER(SEARCH($B6,'Registrar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0.475000000000002</v>
      </c>
      <c r="H6" s="37" t="n">
        <f aca="false">Forecast!H6+SUMPRODUCT('Registrar Patterns'!$I$5:$I$27*ISNUMBER(SEARCH($B6,'Registrar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0.999999999999996</v>
      </c>
      <c r="I6" s="37" t="n">
        <f aca="false">Forecast!I6+SUMPRODUCT('Registrar Patterns'!$I$5:$I$27*ISNUMBER(SEARCH($B6,'Registrar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</v>
      </c>
      <c r="J6" s="37" t="n">
        <f aca="false">Forecast!J6+SUMPRODUCT('Registrar Patterns'!$I$5:$I$27*ISNUMBER(SEARCH($B6,'Registrar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0.833333333333333</v>
      </c>
      <c r="K6" s="37" t="n">
        <f aca="false">Forecast!K6+SUMPRODUCT('Registrar Patterns'!$I$5:$I$27*ISNUMBER(SEARCH($B6,'Registrar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0.83333333333333</v>
      </c>
      <c r="L6" s="37" t="n">
        <f aca="false">Forecast!L6+SUMPRODUCT('Registrar Patterns'!$I$5:$I$27*ISNUMBER(SEARCH($B6,'Registrar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1</v>
      </c>
      <c r="M6" s="21" t="n">
        <f aca="false">SUM(D6:L6)</f>
        <v>7.475</v>
      </c>
      <c r="N6" s="10" t="n">
        <f aca="false">9-M6</f>
        <v>1.525</v>
      </c>
    </row>
    <row r="7" customFormat="false" ht="15" hidden="false" customHeight="false" outlineLevel="0" collapsed="false">
      <c r="A7" s="26" t="s">
        <v>42</v>
      </c>
      <c r="B7" s="26" t="s">
        <v>94</v>
      </c>
      <c r="C7" s="10" t="n">
        <f aca="false">M7-Forecast!M7</f>
        <v>2.66666666666667</v>
      </c>
      <c r="D7" s="37" t="n">
        <f aca="false">Forecast!D7+SUMPRODUCT('Registrar Patterns'!$I$5:$I$27*ISNUMBER(SEARCH($B7,'Registrar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7" s="37" t="n">
        <f aca="false">Forecast!E7+SUMPRODUCT('Registrar Patterns'!$I$5:$I$27*ISNUMBER(SEARCH($B7,'Registrar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1.3</v>
      </c>
      <c r="F7" s="37" t="n">
        <f aca="false">Forecast!F7+SUMPRODUCT('Registrar Patterns'!$I$5:$I$27*ISNUMBER(SEARCH($B7,'Registrar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1.13333333333333</v>
      </c>
      <c r="G7" s="37" t="n">
        <f aca="false">Forecast!G7+SUMPRODUCT('Registrar Patterns'!$I$5:$I$27*ISNUMBER(SEARCH($B7,'Registrar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1.13333333333334</v>
      </c>
      <c r="H7" s="37" t="n">
        <f aca="false">Forecast!H7+SUMPRODUCT('Registrar Patterns'!$I$5:$I$27*ISNUMBER(SEARCH($B7,'Registrar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0.35</v>
      </c>
      <c r="I7" s="37" t="n">
        <f aca="false">Forecast!I7+SUMPRODUCT('Registrar Patterns'!$I$5:$I$27*ISNUMBER(SEARCH($B7,'Registrar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</v>
      </c>
      <c r="J7" s="37" t="n">
        <f aca="false">Forecast!J7+SUMPRODUCT('Registrar Patterns'!$I$5:$I$27*ISNUMBER(SEARCH($B7,'Registrar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0.799999999999999</v>
      </c>
      <c r="K7" s="37" t="n">
        <f aca="false">Forecast!K7+SUMPRODUCT('Registrar Patterns'!$I$5:$I$27*ISNUMBER(SEARCH($B7,'Registrar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0.749999999999999</v>
      </c>
      <c r="L7" s="37" t="n">
        <f aca="false">Forecast!L7+SUMPRODUCT('Registrar Patterns'!$I$5:$I$27*ISNUMBER(SEARCH($B7,'Registrar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0.250000000000002</v>
      </c>
      <c r="M7" s="21" t="n">
        <f aca="false">SUM(D7:L7)</f>
        <v>6.71666666666667</v>
      </c>
      <c r="N7" s="10" t="n">
        <f aca="false">9-M7</f>
        <v>2.28333333333333</v>
      </c>
    </row>
    <row r="8" customFormat="false" ht="15" hidden="false" customHeight="false" outlineLevel="0" collapsed="false">
      <c r="A8" s="26" t="s">
        <v>42</v>
      </c>
      <c r="B8" s="26" t="s">
        <v>105</v>
      </c>
      <c r="C8" s="10" t="n">
        <f aca="false">M8-Forecast!M8</f>
        <v>2.5</v>
      </c>
      <c r="D8" s="37" t="n">
        <f aca="false">Forecast!D8+SUMPRODUCT('Registrar Patterns'!$I$5:$I$27*ISNUMBER(SEARCH($B8,'Registrar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8" s="37" t="n">
        <f aca="false">Forecast!E8+SUMPRODUCT('Registrar Patterns'!$I$5:$I$27*ISNUMBER(SEARCH($B8,'Registrar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0.533333333333333</v>
      </c>
      <c r="F8" s="37" t="n">
        <f aca="false">Forecast!F8+SUMPRODUCT('Registrar Patterns'!$I$5:$I$27*ISNUMBER(SEARCH($B8,'Registrar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0.2</v>
      </c>
      <c r="G8" s="37" t="n">
        <f aca="false">Forecast!G8+SUMPRODUCT('Registrar Patterns'!$I$5:$I$27*ISNUMBER(SEARCH($B8,'Registrar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0.100000000000001</v>
      </c>
      <c r="H8" s="37" t="n">
        <f aca="false">Forecast!H8+SUMPRODUCT('Registrar Patterns'!$I$5:$I$27*ISNUMBER(SEARCH($B8,'Registrar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0.999999999999997</v>
      </c>
      <c r="I8" s="37" t="n">
        <f aca="false">Forecast!I8+SUMPRODUCT('Registrar Patterns'!$I$5:$I$27*ISNUMBER(SEARCH($B8,'Registrar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0.925000000000005</v>
      </c>
      <c r="J8" s="37" t="n">
        <f aca="false">Forecast!J8+SUMPRODUCT('Registrar Patterns'!$I$5:$I$27*ISNUMBER(SEARCH($B8,'Registrar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1.03333333333333</v>
      </c>
      <c r="K8" s="37" t="n">
        <f aca="false">Forecast!K8+SUMPRODUCT('Registrar Patterns'!$I$5:$I$27*ISNUMBER(SEARCH($B8,'Registrar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0.783333333333331</v>
      </c>
      <c r="L8" s="37" t="n">
        <f aca="false">Forecast!L8+SUMPRODUCT('Registrar Patterns'!$I$5:$I$27*ISNUMBER(SEARCH($B8,'Registrar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0.7</v>
      </c>
      <c r="M8" s="21" t="n">
        <f aca="false">SUM(D8:L8)</f>
        <v>5.775</v>
      </c>
      <c r="N8" s="10" t="n">
        <f aca="false">9-M8</f>
        <v>3.225</v>
      </c>
    </row>
    <row r="9" customFormat="false" ht="15" hidden="false" customHeight="false" outlineLevel="0" collapsed="false">
      <c r="A9" s="26" t="s">
        <v>42</v>
      </c>
      <c r="B9" s="26" t="s">
        <v>117</v>
      </c>
      <c r="C9" s="10" t="n">
        <f aca="false">M9-Forecast!M9</f>
        <v>2.66666666666667</v>
      </c>
      <c r="D9" s="37" t="n">
        <f aca="false">Forecast!D9+SUMPRODUCT('Registrar Patterns'!$I$5:$I$27*ISNUMBER(SEARCH($B9,'Registrar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9" s="37" t="n">
        <f aca="false">Forecast!E9+SUMPRODUCT('Registrar Patterns'!$I$5:$I$27*ISNUMBER(SEARCH($B9,'Registrar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1.3</v>
      </c>
      <c r="F9" s="37" t="n">
        <f aca="false">Forecast!F9+SUMPRODUCT('Registrar Patterns'!$I$5:$I$27*ISNUMBER(SEARCH($B9,'Registrar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1.13333333333333</v>
      </c>
      <c r="G9" s="37" t="n">
        <f aca="false">Forecast!G9+SUMPRODUCT('Registrar Patterns'!$I$5:$I$27*ISNUMBER(SEARCH($B9,'Registrar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1.13333333333334</v>
      </c>
      <c r="H9" s="37" t="n">
        <f aca="false">Forecast!H9+SUMPRODUCT('Registrar Patterns'!$I$5:$I$27*ISNUMBER(SEARCH($B9,'Registrar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0.999999999999999</v>
      </c>
      <c r="I9" s="37" t="n">
        <f aca="false">Forecast!I9+SUMPRODUCT('Registrar Patterns'!$I$5:$I$27*ISNUMBER(SEARCH($B9,'Registrar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0.583333333333337</v>
      </c>
      <c r="J9" s="37" t="n">
        <f aca="false">Forecast!J9+SUMPRODUCT('Registrar Patterns'!$I$5:$I$27*ISNUMBER(SEARCH($B9,'Registrar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</v>
      </c>
      <c r="K9" s="37" t="n">
        <f aca="false">Forecast!K9+SUMPRODUCT('Registrar Patterns'!$I$5:$I$27*ISNUMBER(SEARCH($B9,'Registrar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0.999999999999999</v>
      </c>
      <c r="L9" s="37" t="n">
        <f aca="false">Forecast!L9+SUMPRODUCT('Registrar Patterns'!$I$5:$I$27*ISNUMBER(SEARCH($B9,'Registrar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0.100000000000001</v>
      </c>
      <c r="M9" s="21" t="n">
        <f aca="false">SUM(D9:L9)</f>
        <v>6.25</v>
      </c>
      <c r="N9" s="10" t="n">
        <f aca="false">9-M9</f>
        <v>2.75</v>
      </c>
    </row>
    <row r="10" customFormat="false" ht="15" hidden="false" customHeight="false" outlineLevel="0" collapsed="false">
      <c r="A10" s="26" t="s">
        <v>42</v>
      </c>
      <c r="B10" s="26" t="s">
        <v>118</v>
      </c>
      <c r="C10" s="10" t="n">
        <f aca="false">M10-Forecast!M10</f>
        <v>2.5</v>
      </c>
      <c r="D10" s="37" t="n">
        <f aca="false">Forecast!D10+SUMPRODUCT('Registrar Patterns'!$I$5:$I$27*ISNUMBER(SEARCH($B10,'Registrar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10" s="37" t="n">
        <f aca="false">Forecast!E10+SUMPRODUCT('Registrar Patterns'!$I$5:$I$27*ISNUMBER(SEARCH($B10,'Registrar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1.03333333333333</v>
      </c>
      <c r="F10" s="37" t="n">
        <f aca="false">Forecast!F10+SUMPRODUCT('Registrar Patterns'!$I$5:$I$27*ISNUMBER(SEARCH($B10,'Registrar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0.699999999999998</v>
      </c>
      <c r="G10" s="37" t="n">
        <f aca="false">Forecast!G10+SUMPRODUCT('Registrar Patterns'!$I$5:$I$27*ISNUMBER(SEARCH($B10,'Registrar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0.250000000000002</v>
      </c>
      <c r="H10" s="37" t="n">
        <f aca="false">Forecast!H10+SUMPRODUCT('Registrar Patterns'!$I$5:$I$27*ISNUMBER(SEARCH($B10,'Registrar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0.699999999999999</v>
      </c>
      <c r="I10" s="37" t="n">
        <f aca="false">Forecast!I10+SUMPRODUCT('Registrar Patterns'!$I$5:$I$27*ISNUMBER(SEARCH($B10,'Registrar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0.500000000000001</v>
      </c>
      <c r="J10" s="37" t="n">
        <f aca="false">Forecast!J10+SUMPRODUCT('Registrar Patterns'!$I$5:$I$27*ISNUMBER(SEARCH($B10,'Registrar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0.833333333333333</v>
      </c>
      <c r="K10" s="37" t="n">
        <f aca="false">Forecast!K10+SUMPRODUCT('Registrar Patterns'!$I$5:$I$27*ISNUMBER(SEARCH($B10,'Registrar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1.08333333333333</v>
      </c>
      <c r="L10" s="37" t="n">
        <f aca="false">Forecast!L10+SUMPRODUCT('Registrar Patterns'!$I$5:$I$27*ISNUMBER(SEARCH($B10,'Registrar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1</v>
      </c>
      <c r="M10" s="21" t="n">
        <f aca="false">SUM(D10:L10)</f>
        <v>6.6</v>
      </c>
      <c r="N10" s="10" t="n">
        <f aca="false">9-M10</f>
        <v>2.4</v>
      </c>
    </row>
    <row r="11" customFormat="false" ht="15" hidden="false" customHeight="false" outlineLevel="0" collapsed="false">
      <c r="B11" s="3" t="s">
        <v>202</v>
      </c>
      <c r="C11" s="38" t="n">
        <f aca="false">SUM(C6:C10)</f>
        <v>12.8333333333333</v>
      </c>
      <c r="D11" s="3" t="n">
        <f aca="false">COUNTIF(D6:L10,"&gt;1")</f>
        <v>9</v>
      </c>
      <c r="E11" s="7" t="s">
        <v>203</v>
      </c>
      <c r="M11" s="38" t="n">
        <f aca="false">SUM(M6:M10)</f>
        <v>32.8166666666667</v>
      </c>
      <c r="N11" s="38" t="n">
        <f aca="false">SUM(N6:N10)</f>
        <v>12.1833333333333</v>
      </c>
    </row>
    <row r="13" customFormat="false" ht="15" hidden="false" customHeight="false" outlineLevel="0" collapsed="false">
      <c r="A13" s="36" t="s">
        <v>204</v>
      </c>
    </row>
    <row r="14" customFormat="false" ht="30" hidden="false" customHeight="true" outlineLevel="0" collapsed="false">
      <c r="A14" s="8" t="s">
        <v>31</v>
      </c>
      <c r="B14" s="8" t="s">
        <v>58</v>
      </c>
      <c r="C14" s="8" t="s">
        <v>199</v>
      </c>
      <c r="D14" s="8" t="s">
        <v>71</v>
      </c>
      <c r="E14" s="8" t="s">
        <v>74</v>
      </c>
      <c r="F14" s="8" t="s">
        <v>76</v>
      </c>
      <c r="G14" s="8" t="s">
        <v>78</v>
      </c>
      <c r="H14" s="8" t="s">
        <v>79</v>
      </c>
      <c r="I14" s="8" t="s">
        <v>81</v>
      </c>
      <c r="J14" s="8" t="s">
        <v>85</v>
      </c>
      <c r="K14" s="8" t="s">
        <v>88</v>
      </c>
      <c r="L14" s="8" t="s">
        <v>91</v>
      </c>
      <c r="M14" s="8" t="s">
        <v>200</v>
      </c>
      <c r="N14" s="8" t="s">
        <v>201</v>
      </c>
    </row>
    <row r="15" customFormat="false" ht="15" hidden="false" customHeight="false" outlineLevel="0" collapsed="false">
      <c r="A15" s="26" t="s">
        <v>43</v>
      </c>
      <c r="B15" s="26" t="s">
        <v>70</v>
      </c>
      <c r="C15" s="10" t="n">
        <f aca="false">M15-Forecast!M15</f>
        <v>2.16666666666667</v>
      </c>
      <c r="D15" s="37" t="n">
        <f aca="false">Forecast!D15+SUMPRODUCT('Registrar Patterns'!$M$5:$M$27*ISNUMBER(SEARCH($B15,'Registrar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15" s="37" t="n">
        <f aca="false">Forecast!E15+SUMPRODUCT('Registrar Patterns'!$M$5:$M$27*ISNUMBER(SEARCH($B15,'Registrar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0.833333333333334</v>
      </c>
      <c r="F15" s="37" t="n">
        <f aca="false">Forecast!F15+SUMPRODUCT('Registrar Patterns'!$M$5:$M$27*ISNUMBER(SEARCH($B15,'Registrar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0.749999999999997</v>
      </c>
      <c r="G15" s="37" t="n">
        <f aca="false">Forecast!G15+SUMPRODUCT('Registrar Patterns'!$M$5:$M$27*ISNUMBER(SEARCH($B15,'Registrar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0.958333333333336</v>
      </c>
      <c r="H15" s="37" t="n">
        <f aca="false">Forecast!H15+SUMPRODUCT('Registrar Patterns'!$M$5:$M$27*ISNUMBER(SEARCH($B15,'Registrar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0.799999999999998</v>
      </c>
      <c r="I15" s="37" t="n">
        <f aca="false">Forecast!I15+SUMPRODUCT('Registrar Patterns'!$M$5:$M$27*ISNUMBER(SEARCH($B15,'Registrar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0.5</v>
      </c>
      <c r="J15" s="37" t="n">
        <f aca="false">Forecast!J15+SUMPRODUCT('Registrar Patterns'!$M$5:$M$27*ISNUMBER(SEARCH($B15,'Registrar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0.416666666666665</v>
      </c>
      <c r="K15" s="37" t="n">
        <f aca="false">Forecast!K15+SUMPRODUCT('Registrar Patterns'!$M$5:$M$27*ISNUMBER(SEARCH($B15,'Registrar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0.499999999999996</v>
      </c>
      <c r="L15" s="37" t="n">
        <f aca="false">Forecast!L15+SUMPRODUCT('Registrar Patterns'!$M$5:$M$27*ISNUMBER(SEARCH($B15,'Registrar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1</v>
      </c>
      <c r="M15" s="21" t="n">
        <f aca="false">SUM(D15:L15)</f>
        <v>6.25833333333333</v>
      </c>
      <c r="N15" s="10" t="n">
        <f aca="false">9-M15</f>
        <v>2.74166666666668</v>
      </c>
    </row>
    <row r="16" customFormat="false" ht="15" hidden="false" customHeight="false" outlineLevel="0" collapsed="false">
      <c r="A16" s="26" t="s">
        <v>43</v>
      </c>
      <c r="B16" s="26" t="s">
        <v>94</v>
      </c>
      <c r="C16" s="10" t="n">
        <f aca="false">M16-Forecast!M16</f>
        <v>2.66666666666667</v>
      </c>
      <c r="D16" s="37" t="n">
        <f aca="false">Forecast!D16+SUMPRODUCT('Registrar Patterns'!$M$5:$M$27*ISNUMBER(SEARCH($B16,'Registrar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16" s="37" t="n">
        <f aca="false">Forecast!E16+SUMPRODUCT('Registrar Patterns'!$M$5:$M$27*ISNUMBER(SEARCH($B16,'Registrar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</v>
      </c>
      <c r="F16" s="37" t="n">
        <f aca="false">Forecast!F16+SUMPRODUCT('Registrar Patterns'!$M$5:$M$27*ISNUMBER(SEARCH($B16,'Registrar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0.83333333333333</v>
      </c>
      <c r="G16" s="37" t="n">
        <f aca="false">Forecast!G16+SUMPRODUCT('Registrar Patterns'!$M$5:$M$27*ISNUMBER(SEARCH($B16,'Registrar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1.38333333333333</v>
      </c>
      <c r="H16" s="37" t="n">
        <f aca="false">Forecast!H16+SUMPRODUCT('Registrar Patterns'!$M$5:$M$27*ISNUMBER(SEARCH($B16,'Registrar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0.999999999999999</v>
      </c>
      <c r="I16" s="37" t="n">
        <f aca="false">Forecast!I16+SUMPRODUCT('Registrar Patterns'!$M$5:$M$27*ISNUMBER(SEARCH($B16,'Registrar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</v>
      </c>
      <c r="J16" s="37" t="n">
        <f aca="false">Forecast!J16+SUMPRODUCT('Registrar Patterns'!$M$5:$M$27*ISNUMBER(SEARCH($B16,'Registrar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0.799999999999999</v>
      </c>
      <c r="K16" s="37" t="n">
        <f aca="false">Forecast!K16+SUMPRODUCT('Registrar Patterns'!$M$5:$M$27*ISNUMBER(SEARCH($B16,'Registrar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0.749999999999999</v>
      </c>
      <c r="L16" s="37" t="n">
        <f aca="false">Forecast!L16+SUMPRODUCT('Registrar Patterns'!$M$5:$M$27*ISNUMBER(SEARCH($B16,'Registrar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0.400000000000001</v>
      </c>
      <c r="M16" s="21" t="n">
        <f aca="false">SUM(D16:L16)</f>
        <v>7.16666666666667</v>
      </c>
      <c r="N16" s="10" t="n">
        <f aca="false">9-M16</f>
        <v>1.83333333333333</v>
      </c>
    </row>
    <row r="17" customFormat="false" ht="15" hidden="false" customHeight="false" outlineLevel="0" collapsed="false">
      <c r="A17" s="26" t="s">
        <v>43</v>
      </c>
      <c r="B17" s="26" t="s">
        <v>105</v>
      </c>
      <c r="C17" s="10" t="n">
        <f aca="false">M17-Forecast!M17</f>
        <v>2.16666666666667</v>
      </c>
      <c r="D17" s="37" t="n">
        <f aca="false">Forecast!D17+SUMPRODUCT('Registrar Patterns'!$M$5:$M$27*ISNUMBER(SEARCH($B17,'Registrar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17" s="37" t="n">
        <f aca="false">Forecast!E17+SUMPRODUCT('Registrar Patterns'!$M$5:$M$27*ISNUMBER(SEARCH($B17,'Registrar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0.483333333333335</v>
      </c>
      <c r="F17" s="37" t="n">
        <f aca="false">Forecast!F17+SUMPRODUCT('Registrar Patterns'!$M$5:$M$27*ISNUMBER(SEARCH($B17,'Registrar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0.799999999999998</v>
      </c>
      <c r="G17" s="37" t="n">
        <f aca="false">Forecast!G17+SUMPRODUCT('Registrar Patterns'!$M$5:$M$27*ISNUMBER(SEARCH($B17,'Registrar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1.03333333333334</v>
      </c>
      <c r="H17" s="37" t="n">
        <f aca="false">Forecast!H17+SUMPRODUCT('Registrar Patterns'!$M$5:$M$27*ISNUMBER(SEARCH($B17,'Registrar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0.799999999999998</v>
      </c>
      <c r="I17" s="37" t="n">
        <f aca="false">Forecast!I17+SUMPRODUCT('Registrar Patterns'!$M$5:$M$27*ISNUMBER(SEARCH($B17,'Registrar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0.575000000000002</v>
      </c>
      <c r="J17" s="37" t="n">
        <f aca="false">Forecast!J17+SUMPRODUCT('Registrar Patterns'!$M$5:$M$27*ISNUMBER(SEARCH($B17,'Registrar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0.416666666666665</v>
      </c>
      <c r="K17" s="37" t="n">
        <f aca="false">Forecast!K17+SUMPRODUCT('Registrar Patterns'!$M$5:$M$27*ISNUMBER(SEARCH($B17,'Registrar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0.249999999999998</v>
      </c>
      <c r="L17" s="37" t="n">
        <f aca="false">Forecast!L17+SUMPRODUCT('Registrar Patterns'!$M$5:$M$27*ISNUMBER(SEARCH($B17,'Registrar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0.5</v>
      </c>
      <c r="M17" s="21" t="n">
        <f aca="false">SUM(D17:L17)</f>
        <v>5.35833333333333</v>
      </c>
      <c r="N17" s="10" t="n">
        <f aca="false">9-M17</f>
        <v>3.64166666666667</v>
      </c>
    </row>
    <row r="18" customFormat="false" ht="15" hidden="false" customHeight="false" outlineLevel="0" collapsed="false">
      <c r="A18" s="26" t="s">
        <v>43</v>
      </c>
      <c r="B18" s="26" t="s">
        <v>117</v>
      </c>
      <c r="C18" s="10" t="n">
        <f aca="false">M18-Forecast!M18</f>
        <v>2.66666666666667</v>
      </c>
      <c r="D18" s="37" t="n">
        <f aca="false">Forecast!D18+SUMPRODUCT('Registrar Patterns'!$M$5:$M$27*ISNUMBER(SEARCH($B18,'Registrar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18" s="37" t="n">
        <f aca="false">Forecast!E18+SUMPRODUCT('Registrar Patterns'!$M$5:$M$27*ISNUMBER(SEARCH($B18,'Registrar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1.1</v>
      </c>
      <c r="F18" s="37" t="n">
        <f aca="false">Forecast!F18+SUMPRODUCT('Registrar Patterns'!$M$5:$M$27*ISNUMBER(SEARCH($B18,'Registrar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1.03333333333333</v>
      </c>
      <c r="G18" s="37" t="n">
        <f aca="false">Forecast!G18+SUMPRODUCT('Registrar Patterns'!$M$5:$M$27*ISNUMBER(SEARCH($B18,'Registrar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0.933333333333337</v>
      </c>
      <c r="H18" s="37" t="n">
        <f aca="false">Forecast!H18+SUMPRODUCT('Registrar Patterns'!$M$5:$M$27*ISNUMBER(SEARCH($B18,'Registrar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0.999999999999998</v>
      </c>
      <c r="I18" s="37" t="n">
        <f aca="false">Forecast!I18+SUMPRODUCT('Registrar Patterns'!$M$5:$M$27*ISNUMBER(SEARCH($B18,'Registrar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0.583333333333337</v>
      </c>
      <c r="J18" s="37" t="n">
        <f aca="false">Forecast!J18+SUMPRODUCT('Registrar Patterns'!$M$5:$M$27*ISNUMBER(SEARCH($B18,'Registrar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</v>
      </c>
      <c r="K18" s="37" t="n">
        <f aca="false">Forecast!K18+SUMPRODUCT('Registrar Patterns'!$M$5:$M$27*ISNUMBER(SEARCH($B18,'Registrar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0.999999999999999</v>
      </c>
      <c r="L18" s="37" t="n">
        <f aca="false">Forecast!L18+SUMPRODUCT('Registrar Patterns'!$M$5:$M$27*ISNUMBER(SEARCH($B18,'Registrar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0.100000000000001</v>
      </c>
      <c r="M18" s="21" t="n">
        <f aca="false">SUM(D18:L18)</f>
        <v>5.75</v>
      </c>
      <c r="N18" s="10" t="n">
        <f aca="false">9-M18</f>
        <v>3.25</v>
      </c>
    </row>
    <row r="19" customFormat="false" ht="15" hidden="false" customHeight="false" outlineLevel="0" collapsed="false">
      <c r="A19" s="26" t="s">
        <v>43</v>
      </c>
      <c r="B19" s="26" t="s">
        <v>118</v>
      </c>
      <c r="C19" s="10" t="n">
        <f aca="false">M19-Forecast!M19</f>
        <v>0.833333333333334</v>
      </c>
      <c r="D19" s="37" t="n">
        <f aca="false">Forecast!D19+SUMPRODUCT('Registrar Patterns'!$M$5:$M$27*ISNUMBER(SEARCH($B19,'Registrar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19" s="37" t="n">
        <f aca="false">Forecast!E19+SUMPRODUCT('Registrar Patterns'!$M$5:$M$27*ISNUMBER(SEARCH($B19,'Registrar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0.833333333333334</v>
      </c>
      <c r="F19" s="37" t="n">
        <f aca="false">Forecast!F19+SUMPRODUCT('Registrar Patterns'!$M$5:$M$27*ISNUMBER(SEARCH($B19,'Registrar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0.499999999999999</v>
      </c>
      <c r="G19" s="37" t="n">
        <f aca="false">Forecast!G19+SUMPRODUCT('Registrar Patterns'!$M$5:$M$27*ISNUMBER(SEARCH($B19,'Registrar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0.350000000000001</v>
      </c>
      <c r="H19" s="37" t="n">
        <f aca="false">Forecast!H19+SUMPRODUCT('Registrar Patterns'!$M$5:$M$27*ISNUMBER(SEARCH($B19,'Registrar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0.699999999999998</v>
      </c>
      <c r="I19" s="37" t="n">
        <f aca="false">Forecast!I19+SUMPRODUCT('Registrar Patterns'!$M$5:$M$27*ISNUMBER(SEARCH($B19,'Registrar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0.550000000000002</v>
      </c>
      <c r="J19" s="37" t="n">
        <f aca="false">Forecast!J19+SUMPRODUCT('Registrar Patterns'!$M$5:$M$27*ISNUMBER(SEARCH($B19,'Registrar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0.3</v>
      </c>
      <c r="K19" s="37" t="n">
        <f aca="false">Forecast!K19+SUMPRODUCT('Registrar Patterns'!$M$5:$M$27*ISNUMBER(SEARCH($B19,'Registrar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0.749999999999997</v>
      </c>
      <c r="L19" s="37" t="n">
        <f aca="false">Forecast!L19+SUMPRODUCT('Registrar Patterns'!$M$5:$M$27*ISNUMBER(SEARCH($B19,'Registrar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1</v>
      </c>
      <c r="M19" s="21" t="n">
        <f aca="false">SUM(D19:L19)</f>
        <v>5.48333333333333</v>
      </c>
      <c r="N19" s="10" t="n">
        <f aca="false">9-M19</f>
        <v>3.51666666666667</v>
      </c>
    </row>
    <row r="20" customFormat="false" ht="15" hidden="false" customHeight="false" outlineLevel="0" collapsed="false">
      <c r="B20" s="3" t="s">
        <v>202</v>
      </c>
      <c r="C20" s="38" t="n">
        <f aca="false">SUM(C15:C19)</f>
        <v>10.5</v>
      </c>
      <c r="D20" s="3" t="n">
        <f aca="false">COUNTIF(D15:L19,"&gt;1")</f>
        <v>4</v>
      </c>
      <c r="E20" s="7" t="s">
        <v>203</v>
      </c>
      <c r="M20" s="38" t="n">
        <f aca="false">SUM(M15:M19)</f>
        <v>30.0166666666667</v>
      </c>
      <c r="N20" s="38" t="n">
        <f aca="false">SUM(N15:N19)</f>
        <v>14.9833333333333</v>
      </c>
    </row>
    <row r="22" customFormat="false" ht="15" hidden="false" customHeight="false" outlineLevel="0" collapsed="false">
      <c r="A22" s="36" t="s">
        <v>205</v>
      </c>
    </row>
    <row r="23" customFormat="false" ht="30" hidden="false" customHeight="true" outlineLevel="0" collapsed="false">
      <c r="A23" s="8" t="s">
        <v>31</v>
      </c>
      <c r="B23" s="8" t="s">
        <v>58</v>
      </c>
      <c r="C23" s="8" t="s">
        <v>199</v>
      </c>
      <c r="D23" s="8" t="s">
        <v>71</v>
      </c>
      <c r="E23" s="8" t="s">
        <v>74</v>
      </c>
      <c r="F23" s="8" t="s">
        <v>76</v>
      </c>
      <c r="G23" s="8" t="s">
        <v>78</v>
      </c>
      <c r="H23" s="8" t="s">
        <v>79</v>
      </c>
      <c r="I23" s="8" t="s">
        <v>81</v>
      </c>
      <c r="J23" s="8" t="s">
        <v>85</v>
      </c>
      <c r="K23" s="8" t="s">
        <v>88</v>
      </c>
      <c r="L23" s="8" t="s">
        <v>91</v>
      </c>
      <c r="M23" s="8" t="s">
        <v>200</v>
      </c>
      <c r="N23" s="8" t="s">
        <v>201</v>
      </c>
    </row>
    <row r="24" customFormat="false" ht="15" hidden="false" customHeight="false" outlineLevel="0" collapsed="false">
      <c r="A24" s="26" t="s">
        <v>44</v>
      </c>
      <c r="B24" s="26" t="s">
        <v>70</v>
      </c>
      <c r="C24" s="10" t="n">
        <f aca="false">M24-Forecast!M24</f>
        <v>3.83333333333334</v>
      </c>
      <c r="D24" s="37" t="n">
        <f aca="false">Forecast!D24+SUMPRODUCT('Registrar Patterns'!$Q$5:$Q$27*ISNUMBER(SEARCH($B24,'Registrar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24" s="37" t="n">
        <f aca="false">Forecast!E24+SUMPRODUCT('Registrar Patterns'!$Q$5:$Q$27*ISNUMBER(SEARCH($B24,'Registrar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0.833333333333334</v>
      </c>
      <c r="F24" s="37" t="n">
        <f aca="false">Forecast!F24+SUMPRODUCT('Registrar Patterns'!$Q$5:$Q$27*ISNUMBER(SEARCH($B24,'Registrar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0.749999999999997</v>
      </c>
      <c r="G24" s="37" t="n">
        <f aca="false">Forecast!G24+SUMPRODUCT('Registrar Patterns'!$Q$5:$Q$27*ISNUMBER(SEARCH($B24,'Registrar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0.833333333333336</v>
      </c>
      <c r="H24" s="37" t="n">
        <f aca="false">Forecast!H24+SUMPRODUCT('Registrar Patterns'!$Q$5:$Q$27*ISNUMBER(SEARCH($B24,'Registrar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0.3</v>
      </c>
      <c r="I24" s="37" t="n">
        <f aca="false">Forecast!I24+SUMPRODUCT('Registrar Patterns'!$Q$5:$Q$27*ISNUMBER(SEARCH($B24,'Registrar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0.500000000000001</v>
      </c>
      <c r="J24" s="37" t="n">
        <f aca="false">Forecast!J24+SUMPRODUCT('Registrar Patterns'!$Q$5:$Q$27*ISNUMBER(SEARCH($B24,'Registrar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1.03333333333333</v>
      </c>
      <c r="K24" s="37" t="n">
        <f aca="false">Forecast!K24+SUMPRODUCT('Registrar Patterns'!$Q$5:$Q$27*ISNUMBER(SEARCH($B24,'Registrar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0.83333333333333</v>
      </c>
      <c r="L24" s="37" t="n">
        <f aca="false">Forecast!L24+SUMPRODUCT('Registrar Patterns'!$Q$5:$Q$27*ISNUMBER(SEARCH($B24,'Registrar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1</v>
      </c>
      <c r="M24" s="21" t="n">
        <f aca="false">SUM(D24:L24)</f>
        <v>6.58333333333333</v>
      </c>
      <c r="N24" s="10" t="n">
        <f aca="false">9-M24</f>
        <v>2.41666666666667</v>
      </c>
    </row>
    <row r="25" customFormat="false" ht="15" hidden="false" customHeight="false" outlineLevel="0" collapsed="false">
      <c r="A25" s="26" t="s">
        <v>44</v>
      </c>
      <c r="B25" s="26" t="s">
        <v>94</v>
      </c>
      <c r="C25" s="10" t="n">
        <f aca="false">M25-Forecast!M25</f>
        <v>2.66666666666667</v>
      </c>
      <c r="D25" s="37" t="n">
        <f aca="false">Forecast!D25+SUMPRODUCT('Registrar Patterns'!$Q$5:$Q$27*ISNUMBER(SEARCH($B25,'Registrar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25" s="37" t="n">
        <f aca="false">Forecast!E25+SUMPRODUCT('Registrar Patterns'!$Q$5:$Q$27*ISNUMBER(SEARCH($B25,'Registrar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</v>
      </c>
      <c r="F25" s="37" t="n">
        <f aca="false">Forecast!F25+SUMPRODUCT('Registrar Patterns'!$Q$5:$Q$27*ISNUMBER(SEARCH($B25,'Registrar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0.83333333333333</v>
      </c>
      <c r="G25" s="37" t="n">
        <f aca="false">Forecast!G25+SUMPRODUCT('Registrar Patterns'!$Q$5:$Q$27*ISNUMBER(SEARCH($B25,'Registrar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1.08333333333333</v>
      </c>
      <c r="H25" s="37" t="n">
        <f aca="false">Forecast!H25+SUMPRODUCT('Registrar Patterns'!$Q$5:$Q$27*ISNUMBER(SEARCH($B25,'Registrar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0.699999999999999</v>
      </c>
      <c r="I25" s="37" t="n">
        <f aca="false">Forecast!I25+SUMPRODUCT('Registrar Patterns'!$Q$5:$Q$27*ISNUMBER(SEARCH($B25,'Registrar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</v>
      </c>
      <c r="J25" s="37" t="n">
        <f aca="false">Forecast!J25+SUMPRODUCT('Registrar Patterns'!$Q$5:$Q$27*ISNUMBER(SEARCH($B25,'Registrar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0.799999999999999</v>
      </c>
      <c r="K25" s="37" t="n">
        <f aca="false">Forecast!K25+SUMPRODUCT('Registrar Patterns'!$Q$5:$Q$27*ISNUMBER(SEARCH($B25,'Registrar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0.749999999999999</v>
      </c>
      <c r="L25" s="37" t="n">
        <f aca="false">Forecast!L25+SUMPRODUCT('Registrar Patterns'!$Q$5:$Q$27*ISNUMBER(SEARCH($B25,'Registrar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0.250000000000002</v>
      </c>
      <c r="M25" s="21" t="n">
        <f aca="false">SUM(D25:L25)</f>
        <v>6.41666666666667</v>
      </c>
      <c r="N25" s="10" t="n">
        <f aca="false">9-M25</f>
        <v>2.58333333333333</v>
      </c>
    </row>
    <row r="26" customFormat="false" ht="15" hidden="false" customHeight="false" outlineLevel="0" collapsed="false">
      <c r="A26" s="26" t="s">
        <v>44</v>
      </c>
      <c r="B26" s="26" t="s">
        <v>105</v>
      </c>
      <c r="C26" s="10" t="n">
        <f aca="false">M26-Forecast!M26</f>
        <v>3.83333333333334</v>
      </c>
      <c r="D26" s="37" t="n">
        <f aca="false">Forecast!D26+SUMPRODUCT('Registrar Patterns'!$Q$5:$Q$27*ISNUMBER(SEARCH($B26,'Registrar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0.749999999999999</v>
      </c>
      <c r="E26" s="37" t="n">
        <f aca="false">Forecast!E26+SUMPRODUCT('Registrar Patterns'!$Q$5:$Q$27*ISNUMBER(SEARCH($B26,'Registrar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0.833333333333334</v>
      </c>
      <c r="F26" s="37" t="n">
        <f aca="false">Forecast!F26+SUMPRODUCT('Registrar Patterns'!$Q$5:$Q$27*ISNUMBER(SEARCH($B26,'Registrar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0.749999999999998</v>
      </c>
      <c r="G26" s="37" t="n">
        <f aca="false">Forecast!G26+SUMPRODUCT('Registrar Patterns'!$Q$5:$Q$27*ISNUMBER(SEARCH($B26,'Registrar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1.13333333333334</v>
      </c>
      <c r="H26" s="37" t="n">
        <f aca="false">Forecast!H26+SUMPRODUCT('Registrar Patterns'!$Q$5:$Q$27*ISNUMBER(SEARCH($B26,'Registrar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0.999999999999999</v>
      </c>
      <c r="I26" s="37" t="n">
        <f aca="false">Forecast!I26+SUMPRODUCT('Registrar Patterns'!$Q$5:$Q$27*ISNUMBER(SEARCH($B26,'Registrar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1.125</v>
      </c>
      <c r="J26" s="37" t="n">
        <f aca="false">Forecast!J26+SUMPRODUCT('Registrar Patterns'!$Q$5:$Q$27*ISNUMBER(SEARCH($B26,'Registrar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1.08333333333333</v>
      </c>
      <c r="K26" s="37" t="n">
        <f aca="false">Forecast!K26+SUMPRODUCT('Registrar Patterns'!$Q$5:$Q$27*ISNUMBER(SEARCH($B26,'Registrar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0.583333333333333</v>
      </c>
      <c r="L26" s="37" t="n">
        <f aca="false">Forecast!L26+SUMPRODUCT('Registrar Patterns'!$Q$5:$Q$27*ISNUMBER(SEARCH($B26,'Registrar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0.5</v>
      </c>
      <c r="M26" s="21" t="n">
        <f aca="false">SUM(D26:L26)</f>
        <v>7.75833333333333</v>
      </c>
      <c r="N26" s="10" t="n">
        <f aca="false">9-M26</f>
        <v>1.24166666666667</v>
      </c>
    </row>
    <row r="27" customFormat="false" ht="15" hidden="false" customHeight="false" outlineLevel="0" collapsed="false">
      <c r="A27" s="26" t="s">
        <v>44</v>
      </c>
      <c r="B27" s="26" t="s">
        <v>117</v>
      </c>
      <c r="C27" s="10" t="n">
        <f aca="false">M27-Forecast!M27</f>
        <v>2.66666666666667</v>
      </c>
      <c r="D27" s="37" t="n">
        <f aca="false">Forecast!D27+SUMPRODUCT('Registrar Patterns'!$Q$5:$Q$27*ISNUMBER(SEARCH($B27,'Registrar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27" s="37" t="n">
        <f aca="false">Forecast!E27+SUMPRODUCT('Registrar Patterns'!$Q$5:$Q$27*ISNUMBER(SEARCH($B27,'Registrar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</v>
      </c>
      <c r="F27" s="37" t="n">
        <f aca="false">Forecast!F27+SUMPRODUCT('Registrar Patterns'!$Q$5:$Q$27*ISNUMBER(SEARCH($B27,'Registrar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0.83333333333333</v>
      </c>
      <c r="G27" s="37" t="n">
        <f aca="false">Forecast!G27+SUMPRODUCT('Registrar Patterns'!$Q$5:$Q$27*ISNUMBER(SEARCH($B27,'Registrar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0.833333333333336</v>
      </c>
      <c r="H27" s="37" t="n">
        <f aca="false">Forecast!H27+SUMPRODUCT('Registrar Patterns'!$Q$5:$Q$27*ISNUMBER(SEARCH($B27,'Registrar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0.499999999999998</v>
      </c>
      <c r="I27" s="37" t="n">
        <f aca="false">Forecast!I27+SUMPRODUCT('Registrar Patterns'!$Q$5:$Q$27*ISNUMBER(SEARCH($B27,'Registrar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0.400000000000001</v>
      </c>
      <c r="J27" s="37" t="n">
        <f aca="false">Forecast!J27+SUMPRODUCT('Registrar Patterns'!$Q$5:$Q$27*ISNUMBER(SEARCH($B27,'Registrar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0.799999999999999</v>
      </c>
      <c r="K27" s="37" t="n">
        <f aca="false">Forecast!K27+SUMPRODUCT('Registrar Patterns'!$Q$5:$Q$27*ISNUMBER(SEARCH($B27,'Registrar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0.999999999999999</v>
      </c>
      <c r="L27" s="37" t="n">
        <f aca="false">Forecast!L27+SUMPRODUCT('Registrar Patterns'!$Q$5:$Q$27*ISNUMBER(SEARCH($B27,'Registrar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0.45</v>
      </c>
      <c r="M27" s="21" t="n">
        <f aca="false">SUM(D27:L27)</f>
        <v>5.81666666666667</v>
      </c>
      <c r="N27" s="10" t="n">
        <f aca="false">9-M27</f>
        <v>3.18333333333334</v>
      </c>
    </row>
    <row r="28" customFormat="false" ht="15" hidden="false" customHeight="false" outlineLevel="0" collapsed="false">
      <c r="A28" s="26" t="s">
        <v>44</v>
      </c>
      <c r="B28" s="26" t="s">
        <v>118</v>
      </c>
      <c r="C28" s="10" t="n">
        <f aca="false">M28-Forecast!M28</f>
        <v>2.5</v>
      </c>
      <c r="D28" s="37" t="n">
        <f aca="false">Forecast!D28+SUMPRODUCT('Registrar Patterns'!$Q$5:$Q$27*ISNUMBER(SEARCH($B28,'Registrar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28" s="37" t="n">
        <f aca="false">Forecast!E28+SUMPRODUCT('Registrar Patterns'!$Q$5:$Q$27*ISNUMBER(SEARCH($B28,'Registrar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1.13333333333333</v>
      </c>
      <c r="F28" s="37" t="n">
        <f aca="false">Forecast!F28+SUMPRODUCT('Registrar Patterns'!$Q$5:$Q$27*ISNUMBER(SEARCH($B28,'Registrar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0.799999999999998</v>
      </c>
      <c r="G28" s="37" t="n">
        <f aca="false">Forecast!G28+SUMPRODUCT('Registrar Patterns'!$Q$5:$Q$27*ISNUMBER(SEARCH($B28,'Registrar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0.500000000000002</v>
      </c>
      <c r="H28" s="37" t="n">
        <f aca="false">Forecast!H28+SUMPRODUCT('Registrar Patterns'!$Q$5:$Q$27*ISNUMBER(SEARCH($B28,'Registrar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0.699999999999998</v>
      </c>
      <c r="I28" s="37" t="n">
        <f aca="false">Forecast!I28+SUMPRODUCT('Registrar Patterns'!$Q$5:$Q$27*ISNUMBER(SEARCH($B28,'Registrar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0.750000000000003</v>
      </c>
      <c r="J28" s="37" t="n">
        <f aca="false">Forecast!J28+SUMPRODUCT('Registrar Patterns'!$Q$5:$Q$27*ISNUMBER(SEARCH($B28,'Registrar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0.833333333333333</v>
      </c>
      <c r="K28" s="37" t="n">
        <f aca="false">Forecast!K28+SUMPRODUCT('Registrar Patterns'!$Q$5:$Q$27*ISNUMBER(SEARCH($B28,'Registrar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1.08333333333333</v>
      </c>
      <c r="L28" s="37" t="n">
        <f aca="false">Forecast!L28+SUMPRODUCT('Registrar Patterns'!$Q$5:$Q$27*ISNUMBER(SEARCH($B28,'Registrar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1</v>
      </c>
      <c r="M28" s="21" t="n">
        <f aca="false">SUM(D28:L28)</f>
        <v>7.3</v>
      </c>
      <c r="N28" s="10" t="n">
        <f aca="false">9-M28</f>
        <v>1.7</v>
      </c>
    </row>
    <row r="29" customFormat="false" ht="15" hidden="false" customHeight="false" outlineLevel="0" collapsed="false">
      <c r="B29" s="3" t="s">
        <v>202</v>
      </c>
      <c r="C29" s="38" t="n">
        <f aca="false">SUM(C24:C28)</f>
        <v>15.5</v>
      </c>
      <c r="D29" s="3" t="n">
        <f aca="false">COUNTIF(D24:L28,"&gt;1")</f>
        <v>7</v>
      </c>
      <c r="E29" s="7" t="s">
        <v>203</v>
      </c>
      <c r="M29" s="38" t="n">
        <f aca="false">SUM(M24:M28)</f>
        <v>33.875</v>
      </c>
      <c r="N29" s="38" t="n">
        <f aca="false">SUM(N24:N28)</f>
        <v>11.125</v>
      </c>
    </row>
    <row r="31" customFormat="false" ht="15" hidden="false" customHeight="false" outlineLevel="0" collapsed="false">
      <c r="A31" s="36" t="s">
        <v>158</v>
      </c>
    </row>
    <row r="32" customFormat="false" ht="30" hidden="false" customHeight="true" outlineLevel="0" collapsed="false">
      <c r="A32" s="8" t="s">
        <v>31</v>
      </c>
      <c r="B32" s="8" t="s">
        <v>58</v>
      </c>
      <c r="C32" s="8" t="s">
        <v>199</v>
      </c>
      <c r="D32" s="8" t="s">
        <v>71</v>
      </c>
      <c r="E32" s="8" t="s">
        <v>74</v>
      </c>
      <c r="F32" s="8" t="s">
        <v>76</v>
      </c>
      <c r="G32" s="8" t="s">
        <v>78</v>
      </c>
      <c r="H32" s="8" t="s">
        <v>79</v>
      </c>
      <c r="I32" s="8" t="s">
        <v>81</v>
      </c>
      <c r="J32" s="8" t="s">
        <v>85</v>
      </c>
      <c r="K32" s="8" t="s">
        <v>88</v>
      </c>
      <c r="L32" s="8" t="s">
        <v>91</v>
      </c>
      <c r="M32" s="8" t="s">
        <v>200</v>
      </c>
      <c r="N32" s="8" t="s">
        <v>201</v>
      </c>
    </row>
    <row r="33" customFormat="false" ht="15" hidden="false" customHeight="false" outlineLevel="0" collapsed="false">
      <c r="A33" s="26" t="s">
        <v>45</v>
      </c>
      <c r="B33" s="26" t="s">
        <v>70</v>
      </c>
      <c r="C33" s="10" t="n">
        <f aca="false">M33-Forecast!M33</f>
        <v>5.66666666666666</v>
      </c>
      <c r="D33" s="37" t="n">
        <f aca="false">Forecast!D33+SUMPRODUCT('Registrar Patterns'!$U$5:$U$27*ISNUMBER(SEARCH($B33,'Registrar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33" s="37" t="n">
        <f aca="false">Forecast!E33+SUMPRODUCT('Registrar Patterns'!$U$5:$U$27*ISNUMBER(SEARCH($B33,'Registrar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0.333333333333334</v>
      </c>
      <c r="F33" s="37" t="n">
        <f aca="false">Forecast!F33+SUMPRODUCT('Registrar Patterns'!$U$5:$U$27*ISNUMBER(SEARCH($B33,'Registrar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0.499999999999998</v>
      </c>
      <c r="G33" s="37" t="n">
        <f aca="false">Forecast!G33+SUMPRODUCT('Registrar Patterns'!$U$5:$U$27*ISNUMBER(SEARCH($B33,'Registrar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1.08333333333334</v>
      </c>
      <c r="H33" s="37" t="n">
        <f aca="false">Forecast!H33+SUMPRODUCT('Registrar Patterns'!$U$5:$U$27*ISNUMBER(SEARCH($B33,'Registrar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1.05</v>
      </c>
      <c r="I33" s="37" t="n">
        <f aca="false">Forecast!I33+SUMPRODUCT('Registrar Patterns'!$U$5:$U$27*ISNUMBER(SEARCH($B33,'Registrar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1.03333333333333</v>
      </c>
      <c r="J33" s="37" t="n">
        <f aca="false">Forecast!J33+SUMPRODUCT('Registrar Patterns'!$U$5:$U$27*ISNUMBER(SEARCH($B33,'Registrar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0.93333333333333</v>
      </c>
      <c r="K33" s="37" t="n">
        <f aca="false">Forecast!K33+SUMPRODUCT('Registrar Patterns'!$U$5:$U$27*ISNUMBER(SEARCH($B33,'Registrar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1.15</v>
      </c>
      <c r="L33" s="37" t="n">
        <f aca="false">Forecast!L33+SUMPRODUCT('Registrar Patterns'!$U$5:$U$27*ISNUMBER(SEARCH($B33,'Registrar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0.633333333333335</v>
      </c>
      <c r="M33" s="21" t="n">
        <f aca="false">SUM(D33:L33)</f>
        <v>7.21666666666666</v>
      </c>
      <c r="N33" s="10" t="n">
        <f aca="false">9-M33</f>
        <v>1.78333333333334</v>
      </c>
    </row>
    <row r="34" customFormat="false" ht="15" hidden="false" customHeight="false" outlineLevel="0" collapsed="false">
      <c r="A34" s="26" t="s">
        <v>45</v>
      </c>
      <c r="B34" s="26" t="s">
        <v>94</v>
      </c>
      <c r="C34" s="10" t="n">
        <f aca="false">M34-Forecast!M34</f>
        <v>5.33333333333333</v>
      </c>
      <c r="D34" s="37" t="n">
        <f aca="false">Forecast!D34+SUMPRODUCT('Registrar Patterns'!$U$5:$U$27*ISNUMBER(SEARCH($B34,'Registrar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34" s="37" t="n">
        <f aca="false">Forecast!E34+SUMPRODUCT('Registrar Patterns'!$U$5:$U$27*ISNUMBER(SEARCH($B34,'Registrar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</v>
      </c>
      <c r="F34" s="37" t="n">
        <f aca="false">Forecast!F34+SUMPRODUCT('Registrar Patterns'!$U$5:$U$27*ISNUMBER(SEARCH($B34,'Registrar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0.98333333333333</v>
      </c>
      <c r="G34" s="37" t="n">
        <f aca="false">Forecast!G34+SUMPRODUCT('Registrar Patterns'!$U$5:$U$27*ISNUMBER(SEARCH($B34,'Registrar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1.63333333333334</v>
      </c>
      <c r="H34" s="37" t="n">
        <f aca="false">Forecast!H34+SUMPRODUCT('Registrar Patterns'!$U$5:$U$27*ISNUMBER(SEARCH($B34,'Registrar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0.999999999999998</v>
      </c>
      <c r="I34" s="37" t="n">
        <f aca="false">Forecast!I34+SUMPRODUCT('Registrar Patterns'!$U$5:$U$27*ISNUMBER(SEARCH($B34,'Registrar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1.25</v>
      </c>
      <c r="J34" s="37" t="n">
        <f aca="false">Forecast!J34+SUMPRODUCT('Registrar Patterns'!$U$5:$U$27*ISNUMBER(SEARCH($B34,'Registrar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0.83333333333333</v>
      </c>
      <c r="K34" s="37" t="n">
        <f aca="false">Forecast!K34+SUMPRODUCT('Registrar Patterns'!$U$5:$U$27*ISNUMBER(SEARCH($B34,'Registrar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0.999999999999999</v>
      </c>
      <c r="L34" s="37" t="n">
        <f aca="false">Forecast!L34+SUMPRODUCT('Registrar Patterns'!$U$5:$U$27*ISNUMBER(SEARCH($B34,'Registrar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0.333333333333335</v>
      </c>
      <c r="M34" s="21" t="n">
        <f aca="false">SUM(D34:L34)</f>
        <v>8.03333333333333</v>
      </c>
      <c r="N34" s="10" t="n">
        <f aca="false">9-M34</f>
        <v>0.966666666666672</v>
      </c>
    </row>
    <row r="35" customFormat="false" ht="15" hidden="false" customHeight="false" outlineLevel="0" collapsed="false">
      <c r="A35" s="26" t="s">
        <v>45</v>
      </c>
      <c r="B35" s="26" t="s">
        <v>105</v>
      </c>
      <c r="C35" s="10" t="n">
        <f aca="false">M35-Forecast!M35</f>
        <v>5.66666666666666</v>
      </c>
      <c r="D35" s="37" t="n">
        <f aca="false">Forecast!D35+SUMPRODUCT('Registrar Patterns'!$U$5:$U$27*ISNUMBER(SEARCH($B35,'Registrar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35" s="37" t="n">
        <f aca="false">Forecast!E35+SUMPRODUCT('Registrar Patterns'!$U$5:$U$27*ISNUMBER(SEARCH($B35,'Registrar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0.583333333333335</v>
      </c>
      <c r="F35" s="37" t="n">
        <f aca="false">Forecast!F35+SUMPRODUCT('Registrar Patterns'!$U$5:$U$27*ISNUMBER(SEARCH($B35,'Registrar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0.999999999999998</v>
      </c>
      <c r="G35" s="37" t="n">
        <f aca="false">Forecast!G35+SUMPRODUCT('Registrar Patterns'!$U$5:$U$27*ISNUMBER(SEARCH($B35,'Registrar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1.03333333333334</v>
      </c>
      <c r="H35" s="37" t="n">
        <f aca="false">Forecast!H35+SUMPRODUCT('Registrar Patterns'!$U$5:$U$27*ISNUMBER(SEARCH($B35,'Registrar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0.699999999999998</v>
      </c>
      <c r="I35" s="37" t="n">
        <f aca="false">Forecast!I35+SUMPRODUCT('Registrar Patterns'!$U$5:$U$27*ISNUMBER(SEARCH($B35,'Registrar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1.03333333333333</v>
      </c>
      <c r="J35" s="37" t="n">
        <f aca="false">Forecast!J35+SUMPRODUCT('Registrar Patterns'!$U$5:$U$27*ISNUMBER(SEARCH($B35,'Registrar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0.83333333333333</v>
      </c>
      <c r="K35" s="37" t="n">
        <f aca="false">Forecast!K35+SUMPRODUCT('Registrar Patterns'!$U$5:$U$27*ISNUMBER(SEARCH($B35,'Registrar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1.4</v>
      </c>
      <c r="L35" s="37" t="n">
        <f aca="false">Forecast!L35+SUMPRODUCT('Registrar Patterns'!$U$5:$U$27*ISNUMBER(SEARCH($B35,'Registrar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1.13333333333333</v>
      </c>
      <c r="M35" s="21" t="n">
        <f aca="false">SUM(D35:L35)</f>
        <v>8.21666666666666</v>
      </c>
      <c r="N35" s="10" t="n">
        <f aca="false">9-M35</f>
        <v>0.78333333333334</v>
      </c>
    </row>
    <row r="36" customFormat="false" ht="15" hidden="false" customHeight="false" outlineLevel="0" collapsed="false">
      <c r="A36" s="26" t="s">
        <v>45</v>
      </c>
      <c r="B36" s="26" t="s">
        <v>117</v>
      </c>
      <c r="C36" s="10" t="n">
        <f aca="false">M36-Forecast!M36</f>
        <v>5.33333333333333</v>
      </c>
      <c r="D36" s="37" t="n">
        <f aca="false">Forecast!D36+SUMPRODUCT('Registrar Patterns'!$U$5:$U$27*ISNUMBER(SEARCH($B36,'Registrar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</v>
      </c>
      <c r="E36" s="37" t="n">
        <f aca="false">Forecast!E36+SUMPRODUCT('Registrar Patterns'!$U$5:$U$27*ISNUMBER(SEARCH($B36,'Registrar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</v>
      </c>
      <c r="F36" s="37" t="n">
        <f aca="false">Forecast!F36+SUMPRODUCT('Registrar Patterns'!$U$5:$U$27*ISNUMBER(SEARCH($B36,'Registrar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0.83333333333333</v>
      </c>
      <c r="G36" s="37" t="n">
        <f aca="false">Forecast!G36+SUMPRODUCT('Registrar Patterns'!$U$5:$U$27*ISNUMBER(SEARCH($B36,'Registrar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0.833333333333336</v>
      </c>
      <c r="H36" s="37" t="n">
        <f aca="false">Forecast!H36+SUMPRODUCT('Registrar Patterns'!$U$5:$U$27*ISNUMBER(SEARCH($B36,'Registrar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0.499999999999998</v>
      </c>
      <c r="I36" s="37" t="n">
        <f aca="false">Forecast!I36+SUMPRODUCT('Registrar Patterns'!$U$5:$U$27*ISNUMBER(SEARCH($B36,'Registrar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0.75</v>
      </c>
      <c r="J36" s="37" t="n">
        <f aca="false">Forecast!J36+SUMPRODUCT('Registrar Patterns'!$U$5:$U$27*ISNUMBER(SEARCH($B36,'Registrar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1.13333333333333</v>
      </c>
      <c r="K36" s="37" t="n">
        <f aca="false">Forecast!K36+SUMPRODUCT('Registrar Patterns'!$U$5:$U$27*ISNUMBER(SEARCH($B36,'Registrar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1.15</v>
      </c>
      <c r="L36" s="37" t="n">
        <f aca="false">Forecast!L36+SUMPRODUCT('Registrar Patterns'!$U$5:$U$27*ISNUMBER(SEARCH($B36,'Registrar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0.533333333333335</v>
      </c>
      <c r="M36" s="21" t="n">
        <f aca="false">SUM(D36:L36)</f>
        <v>6.73333333333333</v>
      </c>
      <c r="N36" s="10" t="n">
        <f aca="false">9-M36</f>
        <v>2.26666666666667</v>
      </c>
    </row>
    <row r="37" customFormat="false" ht="15" hidden="false" customHeight="false" outlineLevel="0" collapsed="false">
      <c r="A37" s="26" t="s">
        <v>45</v>
      </c>
      <c r="B37" s="26" t="s">
        <v>118</v>
      </c>
      <c r="C37" s="10" t="n">
        <f aca="false">M37-Forecast!M37</f>
        <v>4.5</v>
      </c>
      <c r="D37" s="37" t="n">
        <f aca="false">Forecast!D37+SUMPRODUCT('Registrar Patterns'!$U$5:$U$27*ISNUMBER(SEARCH($B37,'Registrar Patterns'!$B$5:$B$27))*((((('Registrar Patterns'!$D$5:$D$27+((D$3+1)/24)-ABS('Registrar Patterns'!$D$5:$D$27-((D$3+1)/24)))/2)-(('Registrar Patterns'!$C$5:$C$27+(D$3/24)+ABS('Registrar Patterns'!$C$5:$C$27-(D$3/24)))/2))+ABS(((('Registrar Patterns'!$D$5:$D$27+((D$3+1)/24)-ABS('Registrar Patterns'!$D$5:$D$27-((D$3+1)/24)))/2)-(('Registrar Patterns'!$C$5:$C$27+(D$3/24)+ABS('Registrar Patterns'!$C$5:$C$27-(D$3/24)))/2))))/2))*24</f>
        <v>0.5</v>
      </c>
      <c r="E37" s="37" t="n">
        <f aca="false">Forecast!E37+SUMPRODUCT('Registrar Patterns'!$U$5:$U$27*ISNUMBER(SEARCH($B37,'Registrar Patterns'!$B$5:$B$27))*((((('Registrar Patterns'!$D$5:$D$27+((E$3+1)/24)-ABS('Registrar Patterns'!$D$5:$D$27-((E$3+1)/24)))/2)-(('Registrar Patterns'!$C$5:$C$27+(E$3/24)+ABS('Registrar Patterns'!$C$5:$C$27-(E$3/24)))/2))+ABS(((('Registrar Patterns'!$D$5:$D$27+((E$3+1)/24)-ABS('Registrar Patterns'!$D$5:$D$27-((E$3+1)/24)))/2)-(('Registrar Patterns'!$C$5:$C$27+(E$3/24)+ABS('Registrar Patterns'!$C$5:$C$27-(E$3/24)))/2))))/2))*24</f>
        <v>1.13333333333333</v>
      </c>
      <c r="F37" s="37" t="n">
        <f aca="false">Forecast!F37+SUMPRODUCT('Registrar Patterns'!$U$5:$U$27*ISNUMBER(SEARCH($B37,'Registrar Patterns'!$B$5:$B$27))*((((('Registrar Patterns'!$D$5:$D$27+((F$3+1)/24)-ABS('Registrar Patterns'!$D$5:$D$27-((F$3+1)/24)))/2)-(('Registrar Patterns'!$C$5:$C$27+(F$3/24)+ABS('Registrar Patterns'!$C$5:$C$27-(F$3/24)))/2))+ABS(((('Registrar Patterns'!$D$5:$D$27+((F$3+1)/24)-ABS('Registrar Patterns'!$D$5:$D$27-((F$3+1)/24)))/2)-(('Registrar Patterns'!$C$5:$C$27+(F$3/24)+ABS('Registrar Patterns'!$C$5:$C$27-(F$3/24)))/2))))/2))*24</f>
        <v>0.799999999999998</v>
      </c>
      <c r="G37" s="37" t="n">
        <f aca="false">Forecast!G37+SUMPRODUCT('Registrar Patterns'!$U$5:$U$27*ISNUMBER(SEARCH($B37,'Registrar Patterns'!$B$5:$B$27))*((((('Registrar Patterns'!$D$5:$D$27+((G$3+1)/24)-ABS('Registrar Patterns'!$D$5:$D$27-((G$3+1)/24)))/2)-(('Registrar Patterns'!$C$5:$C$27+(G$3/24)+ABS('Registrar Patterns'!$C$5:$C$27-(G$3/24)))/2))+ABS(((('Registrar Patterns'!$D$5:$D$27+((G$3+1)/24)-ABS('Registrar Patterns'!$D$5:$D$27-((G$3+1)/24)))/2)-(('Registrar Patterns'!$C$5:$C$27+(G$3/24)+ABS('Registrar Patterns'!$C$5:$C$27-(G$3/24)))/2))))/2))*24</f>
        <v>0.400000000000003</v>
      </c>
      <c r="H37" s="37" t="n">
        <f aca="false">Forecast!H37+SUMPRODUCT('Registrar Patterns'!$U$5:$U$27*ISNUMBER(SEARCH($B37,'Registrar Patterns'!$B$5:$B$27))*((((('Registrar Patterns'!$D$5:$D$27+((H$3+1)/24)-ABS('Registrar Patterns'!$D$5:$D$27-((H$3+1)/24)))/2)-(('Registrar Patterns'!$C$5:$C$27+(H$3/24)+ABS('Registrar Patterns'!$C$5:$C$27-(H$3/24)))/2))+ABS(((('Registrar Patterns'!$D$5:$D$27+((H$3+1)/24)-ABS('Registrar Patterns'!$D$5:$D$27-((H$3+1)/24)))/2)-(('Registrar Patterns'!$C$5:$C$27+(H$3/24)+ABS('Registrar Patterns'!$C$5:$C$27-(H$3/24)))/2))))/2))*24</f>
        <v>0.799999999999998</v>
      </c>
      <c r="I37" s="37" t="n">
        <f aca="false">Forecast!I37+SUMPRODUCT('Registrar Patterns'!$U$5:$U$27*ISNUMBER(SEARCH($B37,'Registrar Patterns'!$B$5:$B$27))*((((('Registrar Patterns'!$D$5:$D$27+((I$3+1)/24)-ABS('Registrar Patterns'!$D$5:$D$27-((I$3+1)/24)))/2)-(('Registrar Patterns'!$C$5:$C$27+(I$3/24)+ABS('Registrar Patterns'!$C$5:$C$27-(I$3/24)))/2))+ABS(((('Registrar Patterns'!$D$5:$D$27+((I$3+1)/24)-ABS('Registrar Patterns'!$D$5:$D$27-((I$3+1)/24)))/2)-(('Registrar Patterns'!$C$5:$C$27+(I$3/24)+ABS('Registrar Patterns'!$C$5:$C$27-(I$3/24)))/2))))/2))*24</f>
        <v>1.13333333333334</v>
      </c>
      <c r="J37" s="37" t="n">
        <f aca="false">Forecast!J37+SUMPRODUCT('Registrar Patterns'!$U$5:$U$27*ISNUMBER(SEARCH($B37,'Registrar Patterns'!$B$5:$B$27))*((((('Registrar Patterns'!$D$5:$D$27+((J$3+1)/24)-ABS('Registrar Patterns'!$D$5:$D$27-((J$3+1)/24)))/2)-(('Registrar Patterns'!$C$5:$C$27+(J$3/24)+ABS('Registrar Patterns'!$C$5:$C$27-(J$3/24)))/2))+ABS(((('Registrar Patterns'!$D$5:$D$27+((J$3+1)/24)-ABS('Registrar Patterns'!$D$5:$D$27-((J$3+1)/24)))/2)-(('Registrar Patterns'!$C$5:$C$27+(J$3/24)+ABS('Registrar Patterns'!$C$5:$C$27-(J$3/24)))/2))))/2))*24</f>
        <v>1.15</v>
      </c>
      <c r="K37" s="37" t="n">
        <f aca="false">Forecast!K37+SUMPRODUCT('Registrar Patterns'!$U$5:$U$27*ISNUMBER(SEARCH($B37,'Registrar Patterns'!$B$5:$B$27))*((((('Registrar Patterns'!$D$5:$D$27+((K$3+1)/24)-ABS('Registrar Patterns'!$D$5:$D$27-((K$3+1)/24)))/2)-(('Registrar Patterns'!$C$5:$C$27+(K$3/24)+ABS('Registrar Patterns'!$C$5:$C$27-(K$3/24)))/2))+ABS(((('Registrar Patterns'!$D$5:$D$27+((K$3+1)/24)-ABS('Registrar Patterns'!$D$5:$D$27-((K$3+1)/24)))/2)-(('Registrar Patterns'!$C$5:$C$27+(K$3/24)+ABS('Registrar Patterns'!$C$5:$C$27-(K$3/24)))/2))))/2))*24</f>
        <v>1.3</v>
      </c>
      <c r="L37" s="37" t="n">
        <f aca="false">Forecast!L37+SUMPRODUCT('Registrar Patterns'!$U$5:$U$27*ISNUMBER(SEARCH($B37,'Registrar Patterns'!$B$5:$B$27))*((((('Registrar Patterns'!$D$5:$D$27+((L$3+1)/24)-ABS('Registrar Patterns'!$D$5:$D$27-((L$3+1)/24)))/2)-(('Registrar Patterns'!$C$5:$C$27+(L$3/24)+ABS('Registrar Patterns'!$C$5:$C$27-(L$3/24)))/2))+ABS(((('Registrar Patterns'!$D$5:$D$27+((L$3+1)/24)-ABS('Registrar Patterns'!$D$5:$D$27-((L$3+1)/24)))/2)-(('Registrar Patterns'!$C$5:$C$27+(L$3/24)+ABS('Registrar Patterns'!$C$5:$C$27-(L$3/24)))/2))))/2))*24</f>
        <v>0.333333333333335</v>
      </c>
      <c r="M37" s="21" t="n">
        <f aca="false">SUM(D37:L37)</f>
        <v>7.55</v>
      </c>
      <c r="N37" s="10" t="n">
        <f aca="false">9-M37</f>
        <v>1.45</v>
      </c>
    </row>
    <row r="38" customFormat="false" ht="15" hidden="false" customHeight="false" outlineLevel="0" collapsed="false">
      <c r="B38" s="3" t="s">
        <v>202</v>
      </c>
      <c r="C38" s="38" t="n">
        <f aca="false">SUM(C33:C37)</f>
        <v>26.5</v>
      </c>
      <c r="D38" s="3" t="n">
        <f aca="false">COUNTIF(D33:L37,"&gt;1")</f>
        <v>16</v>
      </c>
      <c r="E38" s="7" t="s">
        <v>203</v>
      </c>
      <c r="M38" s="38" t="n">
        <f aca="false">SUM(M33:M37)</f>
        <v>37.75</v>
      </c>
      <c r="N38" s="38" t="n">
        <f aca="false">SUM(N33:N37)</f>
        <v>7.25000000000002</v>
      </c>
    </row>
  </sheetData>
  <conditionalFormatting sqref="D6:L10">
    <cfRule type="colorScale" priority="2">
      <colorScale>
        <cfvo type="num" val="0"/>
        <cfvo type="num" val="0.5"/>
        <cfvo type="num" val="1"/>
        <color rgb="FFFFFFFF"/>
        <color rgb="FFF4B183"/>
        <color rgb="FF8C1515"/>
      </colorScale>
    </cfRule>
    <cfRule type="cellIs" priority="3" operator="greaterThan" aboveAverage="0" equalAverage="0" bottom="0" percent="0" rank="0" text="" dxfId="3">
      <formula>1</formula>
    </cfRule>
  </conditionalFormatting>
  <conditionalFormatting sqref="D15:L19">
    <cfRule type="colorScale" priority="4">
      <colorScale>
        <cfvo type="num" val="0"/>
        <cfvo type="num" val="0.5"/>
        <cfvo type="num" val="1"/>
        <color rgb="FFFFFFFF"/>
        <color rgb="FFF4B183"/>
        <color rgb="FF8C1515"/>
      </colorScale>
    </cfRule>
    <cfRule type="cellIs" priority="5" operator="greaterThan" aboveAverage="0" equalAverage="0" bottom="0" percent="0" rank="0" text="" dxfId="3">
      <formula>1</formula>
    </cfRule>
  </conditionalFormatting>
  <conditionalFormatting sqref="D24:L28">
    <cfRule type="colorScale" priority="6">
      <colorScale>
        <cfvo type="num" val="0"/>
        <cfvo type="num" val="0.5"/>
        <cfvo type="num" val="1"/>
        <color rgb="FFFFFFFF"/>
        <color rgb="FFF4B183"/>
        <color rgb="FF8C1515"/>
      </colorScale>
    </cfRule>
    <cfRule type="cellIs" priority="7" operator="greaterThan" aboveAverage="0" equalAverage="0" bottom="0" percent="0" rank="0" text="" dxfId="3">
      <formula>1</formula>
    </cfRule>
  </conditionalFormatting>
  <conditionalFormatting sqref="D33:L37">
    <cfRule type="colorScale" priority="8">
      <colorScale>
        <cfvo type="num" val="0"/>
        <cfvo type="num" val="0.5"/>
        <cfvo type="num" val="1"/>
        <color rgb="FFFFFFFF"/>
        <color rgb="FFF4B183"/>
        <color rgb="FF8C1515"/>
      </colorScale>
    </cfRule>
    <cfRule type="cellIs" priority="9" operator="greaterThan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7" t="s">
        <v>207</v>
      </c>
    </row>
    <row r="4" customFormat="false" ht="30" hidden="false" customHeight="true" outlineLevel="0" collapsed="false">
      <c r="A4" s="8" t="s">
        <v>31</v>
      </c>
      <c r="B4" s="8" t="s">
        <v>208</v>
      </c>
      <c r="C4" s="8" t="s">
        <v>209</v>
      </c>
      <c r="D4" s="8" t="s">
        <v>210</v>
      </c>
    </row>
    <row r="5" customFormat="false" ht="15" hidden="false" customHeight="false" outlineLevel="0" collapsed="false">
      <c r="A5" s="9" t="s">
        <v>42</v>
      </c>
      <c r="B5" s="39" t="n">
        <v>12.67</v>
      </c>
      <c r="C5" s="39" t="n">
        <v>13.07</v>
      </c>
      <c r="D5" s="40" t="n">
        <f aca="false">B5/C5</f>
        <v>0.969395562356542</v>
      </c>
    </row>
    <row r="6" customFormat="false" ht="15" hidden="false" customHeight="false" outlineLevel="0" collapsed="false">
      <c r="A6" s="9" t="s">
        <v>43</v>
      </c>
      <c r="B6" s="39" t="n">
        <v>8</v>
      </c>
      <c r="C6" s="39" t="n">
        <v>13.57</v>
      </c>
      <c r="D6" s="40" t="n">
        <f aca="false">B6/C6</f>
        <v>0.589535740604274</v>
      </c>
    </row>
    <row r="7" customFormat="false" ht="15" hidden="false" customHeight="false" outlineLevel="0" collapsed="false">
      <c r="A7" s="9" t="s">
        <v>44</v>
      </c>
      <c r="B7" s="39" t="n">
        <v>7</v>
      </c>
      <c r="C7" s="39" t="n">
        <v>11.9</v>
      </c>
      <c r="D7" s="40" t="n">
        <f aca="false">B7/C7</f>
        <v>0.588235294117647</v>
      </c>
    </row>
    <row r="8" customFormat="false" ht="15" hidden="false" customHeight="false" outlineLevel="0" collapsed="false">
      <c r="A8" s="7" t="s">
        <v>211</v>
      </c>
    </row>
    <row r="10" customFormat="false" ht="30" hidden="false" customHeight="true" outlineLevel="0" collapsed="false">
      <c r="A10" s="8" t="s">
        <v>212</v>
      </c>
      <c r="B10" s="8" t="s">
        <v>165</v>
      </c>
      <c r="C10" s="8" t="s">
        <v>166</v>
      </c>
    </row>
    <row r="11" customFormat="false" ht="15" hidden="false" customHeight="false" outlineLevel="0" collapsed="false">
      <c r="A11" s="32" t="s">
        <v>213</v>
      </c>
      <c r="B11" s="33" t="n">
        <v>0.354166666666667</v>
      </c>
      <c r="C11" s="33" t="n">
        <v>0.479166666666667</v>
      </c>
    </row>
    <row r="12" customFormat="false" ht="15" hidden="false" customHeight="false" outlineLevel="0" collapsed="false">
      <c r="A12" s="32" t="s">
        <v>214</v>
      </c>
      <c r="B12" s="33" t="n">
        <v>0.510416666666667</v>
      </c>
      <c r="C12" s="33" t="n">
        <v>0.635416666666667</v>
      </c>
    </row>
    <row r="13" customFormat="false" ht="15" hidden="false" customHeight="false" outlineLevel="0" collapsed="false">
      <c r="A13" s="32" t="s">
        <v>215</v>
      </c>
      <c r="B13" s="33" t="n">
        <v>0.645833333333333</v>
      </c>
      <c r="C13" s="33" t="n">
        <v>0.770833333333333</v>
      </c>
    </row>
    <row r="14" customFormat="false" ht="15" hidden="false" customHeight="false" outlineLevel="0" collapsed="false">
      <c r="A14" s="7" t="s">
        <v>216</v>
      </c>
    </row>
    <row r="16" customFormat="false" ht="15" hidden="false" customHeight="false" outlineLevel="0" collapsed="false">
      <c r="A16" s="3" t="s">
        <v>217</v>
      </c>
    </row>
    <row r="17" customFormat="false" ht="30" hidden="false" customHeight="true" outlineLevel="0" collapsed="false">
      <c r="A17" s="8" t="s">
        <v>58</v>
      </c>
      <c r="B17" s="8" t="s">
        <v>213</v>
      </c>
      <c r="C17" s="8" t="s">
        <v>214</v>
      </c>
      <c r="D17" s="8" t="s">
        <v>215</v>
      </c>
      <c r="E17" s="8" t="s">
        <v>218</v>
      </c>
    </row>
    <row r="18" customFormat="false" ht="15" hidden="false" customHeight="false" outlineLevel="0" collapsed="false">
      <c r="A18" s="26" t="s">
        <v>70</v>
      </c>
      <c r="B18" s="37" t="n">
        <f aca="false">MIN(1,SUMPRODUCT(MAX((Forecast!$D$3:$L$3&lt;$C$11*24)*(Forecast!$D$3:$L$3+1&gt;$B$11*24)*Forecast!$D$6:$L$6))*$D$5)</f>
        <v>0.823986228003059</v>
      </c>
      <c r="C18" s="37" t="n">
        <f aca="false">MIN(1,SUMPRODUCT(MAX((Forecast!$D$3:$L$3&lt;$C$12*24)*(Forecast!$D$3:$L$3+1&gt;$B$12*24)*Forecast!$D$6:$L$6))*$D$5)</f>
        <v>0.969395562356538</v>
      </c>
      <c r="D18" s="37" t="n">
        <f aca="false">MIN(1,SUMPRODUCT(MAX((Forecast!$D$3:$L$3&lt;$C$13*24)*(Forecast!$D$3:$L$3+1&gt;$B$13*24)*Forecast!$D$6:$L$6))*$D$5)</f>
        <v>0.969395562356542</v>
      </c>
      <c r="E18" s="26" t="n">
        <f aca="false">COUNTIF(B18:D18,"&lt;="&amp;Assumptions!$B$15)</f>
        <v>0</v>
      </c>
    </row>
    <row r="19" customFormat="false" ht="15" hidden="false" customHeight="false" outlineLevel="0" collapsed="false">
      <c r="A19" s="26" t="s">
        <v>94</v>
      </c>
      <c r="B19" s="37" t="n">
        <f aca="false">MIN(1,SUMPRODUCT(MAX((Forecast!$D$3:$L$3&lt;$C$11*24)*(Forecast!$D$3:$L$3+1&gt;$B$11*24)*Forecast!$D$7:$L$7))*$D$5)</f>
        <v>0.290818668706963</v>
      </c>
      <c r="C19" s="37" t="n">
        <f aca="false">MIN(1,SUMPRODUCT(MAX((Forecast!$D$3:$L$3&lt;$C$12*24)*(Forecast!$D$3:$L$3+1&gt;$B$12*24)*Forecast!$D$7:$L$7))*$D$5)</f>
        <v>0.969395562356542</v>
      </c>
      <c r="D19" s="37" t="n">
        <f aca="false">MIN(1,SUMPRODUCT(MAX((Forecast!$D$3:$L$3&lt;$C$13*24)*(Forecast!$D$3:$L$3+1&gt;$B$13*24)*Forecast!$D$7:$L$7))*$D$5)</f>
        <v>0.727046671767405</v>
      </c>
      <c r="E19" s="26" t="n">
        <f aca="false">COUNTIF(B19:D19,"&lt;="&amp;Assumptions!$B$15)</f>
        <v>0</v>
      </c>
    </row>
    <row r="20" customFormat="false" ht="15" hidden="false" customHeight="false" outlineLevel="0" collapsed="false">
      <c r="A20" s="26" t="s">
        <v>105</v>
      </c>
      <c r="B20" s="37" t="n">
        <f aca="false">MIN(1,SUMPRODUCT(MAX((Forecast!$D$3:$L$3&lt;$C$11*24)*(Forecast!$D$3:$L$3+1&gt;$B$11*24)*Forecast!$D$8:$L$8))*$D$5)</f>
        <v>0.193879112471308</v>
      </c>
      <c r="C20" s="37" t="n">
        <f aca="false">MIN(1,SUMPRODUCT(MAX((Forecast!$D$3:$L$3&lt;$C$12*24)*(Forecast!$D$3:$L$3+1&gt;$B$12*24)*Forecast!$D$8:$L$8))*$D$5)</f>
        <v>0.969395562356539</v>
      </c>
      <c r="D20" s="37" t="n">
        <f aca="false">MIN(1,SUMPRODUCT(MAX((Forecast!$D$3:$L$3&lt;$C$13*24)*(Forecast!$D$3:$L$3+1&gt;$B$13*24)*Forecast!$D$8:$L$8))*$D$5)</f>
        <v>0.678576893649579</v>
      </c>
      <c r="E20" s="26" t="n">
        <f aca="false">COUNTIF(B20:D20,"&lt;="&amp;Assumptions!$B$15)</f>
        <v>1</v>
      </c>
    </row>
    <row r="21" customFormat="false" ht="15" hidden="false" customHeight="false" outlineLevel="0" collapsed="false">
      <c r="A21" s="26" t="s">
        <v>117</v>
      </c>
      <c r="B21" s="37" t="n">
        <f aca="false">MIN(1,SUMPRODUCT(MAX((Forecast!$D$3:$L$3&lt;$C$11*24)*(Forecast!$D$3:$L$3+1&gt;$B$11*24)*Forecast!$D$9:$L$9))*$D$5)</f>
        <v>0.290818668706963</v>
      </c>
      <c r="C21" s="37" t="n">
        <f aca="false">MIN(1,SUMPRODUCT(MAX((Forecast!$D$3:$L$3&lt;$C$12*24)*(Forecast!$D$3:$L$3+1&gt;$B$12*24)*Forecast!$D$9:$L$9))*$D$5)</f>
        <v>0.969395562356541</v>
      </c>
      <c r="D21" s="37" t="n">
        <f aca="false">MIN(1,SUMPRODUCT(MAX((Forecast!$D$3:$L$3&lt;$C$13*24)*(Forecast!$D$3:$L$3+1&gt;$B$13*24)*Forecast!$D$9:$L$9))*$D$5)</f>
        <v>0.96939556235654</v>
      </c>
      <c r="E21" s="26" t="n">
        <f aca="false">COUNTIF(B21:D21,"&lt;="&amp;Assumptions!$B$15)</f>
        <v>0</v>
      </c>
    </row>
    <row r="22" customFormat="false" ht="15" hidden="false" customHeight="false" outlineLevel="0" collapsed="false">
      <c r="A22" s="26" t="s">
        <v>118</v>
      </c>
      <c r="B22" s="37" t="n">
        <f aca="false">MIN(1,SUMPRODUCT(MAX((Forecast!$D$3:$L$3&lt;$C$11*24)*(Forecast!$D$3:$L$3+1&gt;$B$11*24)*Forecast!$D$10:$L$10))*$D$5)</f>
        <v>0.678576893649579</v>
      </c>
      <c r="C22" s="37" t="n">
        <f aca="false">MIN(1,SUMPRODUCT(MAX((Forecast!$D$3:$L$3&lt;$C$12*24)*(Forecast!$D$3:$L$3+1&gt;$B$12*24)*Forecast!$D$10:$L$10))*$D$5)</f>
        <v>0.727046671767404</v>
      </c>
      <c r="D22" s="37" t="n">
        <f aca="false">MIN(1,SUMPRODUCT(MAX((Forecast!$D$3:$L$3&lt;$C$13*24)*(Forecast!$D$3:$L$3+1&gt;$B$13*24)*Forecast!$D$10:$L$10))*$D$5)</f>
        <v>0.969395562356542</v>
      </c>
      <c r="E22" s="26" t="n">
        <f aca="false">COUNTIF(B22:D22,"&lt;="&amp;Assumptions!$B$15)</f>
        <v>0</v>
      </c>
    </row>
    <row r="23" customFormat="false" ht="15" hidden="false" customHeight="false" outlineLevel="0" collapsed="false">
      <c r="A23" s="3" t="s">
        <v>219</v>
      </c>
      <c r="E23" s="3" t="n">
        <f aca="false">SUM(E18:E22)</f>
        <v>1</v>
      </c>
    </row>
    <row r="25" customFormat="false" ht="15" hidden="false" customHeight="false" outlineLevel="0" collapsed="false">
      <c r="A25" s="3" t="s">
        <v>220</v>
      </c>
    </row>
    <row r="26" customFormat="false" ht="30" hidden="false" customHeight="true" outlineLevel="0" collapsed="false">
      <c r="A26" s="8" t="s">
        <v>58</v>
      </c>
      <c r="B26" s="8" t="s">
        <v>213</v>
      </c>
      <c r="C26" s="8" t="s">
        <v>214</v>
      </c>
      <c r="D26" s="8" t="s">
        <v>215</v>
      </c>
      <c r="E26" s="8" t="s">
        <v>218</v>
      </c>
    </row>
    <row r="27" customFormat="false" ht="15" hidden="false" customHeight="false" outlineLevel="0" collapsed="false">
      <c r="A27" s="26" t="s">
        <v>70</v>
      </c>
      <c r="B27" s="37" t="n">
        <f aca="false">MIN(1,SUMPRODUCT(MAX((Forecast!$D$3:$L$3&lt;$C$11*24)*(Forecast!$D$3:$L$3+1&gt;$B$11*24)*Forecast!$D$15:$L$15))*$D$6)</f>
        <v>0.294767870302137</v>
      </c>
      <c r="C27" s="37" t="n">
        <f aca="false">MIN(1,SUMPRODUCT(MAX((Forecast!$D$3:$L$3&lt;$C$12*24)*(Forecast!$D$3:$L$3+1&gt;$B$12*24)*Forecast!$D$15:$L$15))*$D$6)</f>
        <v>0.471628592483418</v>
      </c>
      <c r="D27" s="37" t="n">
        <f aca="false">MIN(1,SUMPRODUCT(MAX((Forecast!$D$3:$L$3&lt;$C$13*24)*(Forecast!$D$3:$L$3+1&gt;$B$13*24)*Forecast!$D$15:$L$15))*$D$6)</f>
        <v>0.589535740604274</v>
      </c>
      <c r="E27" s="26" t="n">
        <f aca="false">COUNTIF(B27:D27,"&lt;="&amp;Assumptions!$B$15)</f>
        <v>0</v>
      </c>
    </row>
    <row r="28" customFormat="false" ht="15" hidden="false" customHeight="false" outlineLevel="0" collapsed="false">
      <c r="A28" s="26" t="s">
        <v>94</v>
      </c>
      <c r="B28" s="37" t="n">
        <f aca="false">MIN(1,SUMPRODUCT(MAX((Forecast!$D$3:$L$3&lt;$C$11*24)*(Forecast!$D$3:$L$3+1&gt;$B$11*24)*Forecast!$D$16:$L$16))*$D$6)</f>
        <v>0.32424465733235</v>
      </c>
      <c r="C28" s="37" t="n">
        <f aca="false">MIN(1,SUMPRODUCT(MAX((Forecast!$D$3:$L$3&lt;$C$12*24)*(Forecast!$D$3:$L$3+1&gt;$B$12*24)*Forecast!$D$16:$L$16))*$D$6)</f>
        <v>0.589535740604274</v>
      </c>
      <c r="D28" s="37" t="n">
        <f aca="false">MIN(1,SUMPRODUCT(MAX((Forecast!$D$3:$L$3&lt;$C$13*24)*(Forecast!$D$3:$L$3+1&gt;$B$13*24)*Forecast!$D$16:$L$16))*$D$6)</f>
        <v>0.442151805453205</v>
      </c>
      <c r="E28" s="26" t="n">
        <f aca="false">COUNTIF(B28:D28,"&lt;="&amp;Assumptions!$B$15)</f>
        <v>0</v>
      </c>
    </row>
    <row r="29" customFormat="false" ht="15" hidden="false" customHeight="false" outlineLevel="0" collapsed="false">
      <c r="A29" s="26" t="s">
        <v>105</v>
      </c>
      <c r="B29" s="37" t="n">
        <f aca="false">MIN(1,SUMPRODUCT(MAX((Forecast!$D$3:$L$3&lt;$C$11*24)*(Forecast!$D$3:$L$3+1&gt;$B$11*24)*Forecast!$D$17:$L$17))*$D$6)</f>
        <v>0.176860722181282</v>
      </c>
      <c r="C29" s="37" t="n">
        <f aca="false">MIN(1,SUMPRODUCT(MAX((Forecast!$D$3:$L$3&lt;$C$12*24)*(Forecast!$D$3:$L$3+1&gt;$B$12*24)*Forecast!$D$17:$L$17))*$D$6)</f>
        <v>0.471628592483418</v>
      </c>
      <c r="D29" s="37" t="n">
        <f aca="false">MIN(1,SUMPRODUCT(MAX((Forecast!$D$3:$L$3&lt;$C$13*24)*(Forecast!$D$3:$L$3+1&gt;$B$13*24)*Forecast!$D$17:$L$17))*$D$6)</f>
        <v>0.294767870302137</v>
      </c>
      <c r="E29" s="26" t="n">
        <f aca="false">COUNTIF(B29:D29,"&lt;="&amp;Assumptions!$B$15)</f>
        <v>1</v>
      </c>
    </row>
    <row r="30" customFormat="false" ht="15" hidden="false" customHeight="false" outlineLevel="0" collapsed="false">
      <c r="A30" s="26" t="s">
        <v>117</v>
      </c>
      <c r="B30" s="37" t="n">
        <f aca="false">MIN(1,SUMPRODUCT(MAX((Forecast!$D$3:$L$3&lt;$C$11*24)*(Forecast!$D$3:$L$3+1&gt;$B$11*24)*Forecast!$D$18:$L$18))*$D$6)</f>
        <v>0.117907148120855</v>
      </c>
      <c r="C30" s="37" t="n">
        <f aca="false">MIN(1,SUMPRODUCT(MAX((Forecast!$D$3:$L$3&lt;$C$12*24)*(Forecast!$D$3:$L$3+1&gt;$B$12*24)*Forecast!$D$18:$L$18))*$D$6)</f>
        <v>0.589535740604273</v>
      </c>
      <c r="D30" s="37" t="n">
        <f aca="false">MIN(1,SUMPRODUCT(MAX((Forecast!$D$3:$L$3&lt;$C$13*24)*(Forecast!$D$3:$L$3+1&gt;$B$13*24)*Forecast!$D$18:$L$18))*$D$6)</f>
        <v>0.589535740604273</v>
      </c>
      <c r="E30" s="26" t="n">
        <f aca="false">COUNTIF(B30:D30,"&lt;="&amp;Assumptions!$B$15)</f>
        <v>1</v>
      </c>
    </row>
    <row r="31" customFormat="false" ht="15" hidden="false" customHeight="false" outlineLevel="0" collapsed="false">
      <c r="A31" s="26" t="s">
        <v>118</v>
      </c>
      <c r="B31" s="37" t="n">
        <f aca="false">MIN(1,SUMPRODUCT(MAX((Forecast!$D$3:$L$3&lt;$C$11*24)*(Forecast!$D$3:$L$3+1&gt;$B$11*24)*Forecast!$D$19:$L$19))*$D$6)</f>
        <v>0.294767870302137</v>
      </c>
      <c r="C31" s="37" t="n">
        <f aca="false">MIN(1,SUMPRODUCT(MAX((Forecast!$D$3:$L$3&lt;$C$12*24)*(Forecast!$D$3:$L$3+1&gt;$B$12*24)*Forecast!$D$19:$L$19))*$D$6)</f>
        <v>0.442151805453204</v>
      </c>
      <c r="D31" s="37" t="n">
        <f aca="false">MIN(1,SUMPRODUCT(MAX((Forecast!$D$3:$L$3&lt;$C$13*24)*(Forecast!$D$3:$L$3+1&gt;$B$13*24)*Forecast!$D$19:$L$19))*$D$6)</f>
        <v>0.589535740604274</v>
      </c>
      <c r="E31" s="26" t="n">
        <f aca="false">COUNTIF(B31:D31,"&lt;="&amp;Assumptions!$B$15)</f>
        <v>0</v>
      </c>
    </row>
    <row r="32" customFormat="false" ht="15" hidden="false" customHeight="false" outlineLevel="0" collapsed="false">
      <c r="A32" s="3" t="s">
        <v>219</v>
      </c>
      <c r="E32" s="3" t="n">
        <f aca="false">SUM(E27:E31)</f>
        <v>2</v>
      </c>
    </row>
    <row r="34" customFormat="false" ht="15" hidden="false" customHeight="false" outlineLevel="0" collapsed="false">
      <c r="A34" s="3" t="s">
        <v>221</v>
      </c>
    </row>
    <row r="35" customFormat="false" ht="30" hidden="false" customHeight="true" outlineLevel="0" collapsed="false">
      <c r="A35" s="8" t="s">
        <v>58</v>
      </c>
      <c r="B35" s="8" t="s">
        <v>213</v>
      </c>
      <c r="C35" s="8" t="s">
        <v>214</v>
      </c>
      <c r="D35" s="8" t="s">
        <v>215</v>
      </c>
      <c r="E35" s="8" t="s">
        <v>218</v>
      </c>
    </row>
    <row r="36" customFormat="false" ht="15" hidden="false" customHeight="false" outlineLevel="0" collapsed="false">
      <c r="A36" s="26" t="s">
        <v>70</v>
      </c>
      <c r="B36" s="37" t="n">
        <f aca="false">MIN(1,SUMPRODUCT(MAX((Forecast!$D$3:$L$3&lt;$C$11*24)*(Forecast!$D$3:$L$3+1&gt;$B$11*24)*Forecast!$D$24:$L$24))*$D$7)</f>
        <v>0.294117647058824</v>
      </c>
      <c r="C36" s="37" t="n">
        <f aca="false">MIN(1,SUMPRODUCT(MAX((Forecast!$D$3:$L$3&lt;$C$12*24)*(Forecast!$D$3:$L$3+1&gt;$B$12*24)*Forecast!$D$24:$L$24))*$D$7)</f>
        <v>0.294117647058821</v>
      </c>
      <c r="D36" s="37" t="n">
        <f aca="false">MIN(1,SUMPRODUCT(MAX((Forecast!$D$3:$L$3&lt;$C$13*24)*(Forecast!$D$3:$L$3+1&gt;$B$13*24)*Forecast!$D$24:$L$24))*$D$7)</f>
        <v>0.588235294117647</v>
      </c>
      <c r="E36" s="26" t="n">
        <f aca="false">COUNTIF(B36:D36,"&lt;="&amp;Assumptions!$B$15)</f>
        <v>0</v>
      </c>
    </row>
    <row r="37" customFormat="false" ht="15" hidden="false" customHeight="false" outlineLevel="0" collapsed="false">
      <c r="A37" s="26" t="s">
        <v>94</v>
      </c>
      <c r="B37" s="37" t="n">
        <f aca="false">MIN(1,SUMPRODUCT(MAX((Forecast!$D$3:$L$3&lt;$C$11*24)*(Forecast!$D$3:$L$3+1&gt;$B$11*24)*Forecast!$D$25:$L$25))*$D$7)</f>
        <v>0.147058823529411</v>
      </c>
      <c r="C37" s="37" t="n">
        <f aca="false">MIN(1,SUMPRODUCT(MAX((Forecast!$D$3:$L$3&lt;$C$12*24)*(Forecast!$D$3:$L$3+1&gt;$B$12*24)*Forecast!$D$25:$L$25))*$D$7)</f>
        <v>0.588235294117647</v>
      </c>
      <c r="D37" s="37" t="n">
        <f aca="false">MIN(1,SUMPRODUCT(MAX((Forecast!$D$3:$L$3&lt;$C$13*24)*(Forecast!$D$3:$L$3+1&gt;$B$13*24)*Forecast!$D$25:$L$25))*$D$7)</f>
        <v>0.441176470588235</v>
      </c>
      <c r="E37" s="26" t="n">
        <f aca="false">COUNTIF(B37:D37,"&lt;="&amp;Assumptions!$B$15)</f>
        <v>1</v>
      </c>
    </row>
    <row r="38" customFormat="false" ht="15" hidden="false" customHeight="false" outlineLevel="0" collapsed="false">
      <c r="A38" s="26" t="s">
        <v>105</v>
      </c>
      <c r="B38" s="37" t="n">
        <f aca="false">MIN(1,SUMPRODUCT(MAX((Forecast!$D$3:$L$3&lt;$C$11*24)*(Forecast!$D$3:$L$3+1&gt;$B$11*24)*Forecast!$D$26:$L$26))*$D$7)</f>
        <v>0.294117647058824</v>
      </c>
      <c r="C38" s="37" t="n">
        <f aca="false">MIN(1,SUMPRODUCT(MAX((Forecast!$D$3:$L$3&lt;$C$12*24)*(Forecast!$D$3:$L$3+1&gt;$B$12*24)*Forecast!$D$26:$L$26))*$D$7)</f>
        <v>0.588235294117647</v>
      </c>
      <c r="D38" s="37" t="n">
        <f aca="false">MIN(1,SUMPRODUCT(MAX((Forecast!$D$3:$L$3&lt;$C$13*24)*(Forecast!$D$3:$L$3+1&gt;$B$13*24)*Forecast!$D$26:$L$26))*$D$7)</f>
        <v>0.294117647058824</v>
      </c>
      <c r="E38" s="26" t="n">
        <f aca="false">COUNTIF(B38:D38,"&lt;="&amp;Assumptions!$B$15)</f>
        <v>0</v>
      </c>
    </row>
    <row r="39" customFormat="false" ht="15" hidden="false" customHeight="false" outlineLevel="0" collapsed="false">
      <c r="A39" s="26" t="s">
        <v>117</v>
      </c>
      <c r="B39" s="37" t="n">
        <f aca="false">MIN(1,SUMPRODUCT(MAX((Forecast!$D$3:$L$3&lt;$C$11*24)*(Forecast!$D$3:$L$3+1&gt;$B$11*24)*Forecast!$D$27:$L$27))*$D$7)</f>
        <v>0</v>
      </c>
      <c r="C39" s="37" t="n">
        <f aca="false">MIN(1,SUMPRODUCT(MAX((Forecast!$D$3:$L$3&lt;$C$12*24)*(Forecast!$D$3:$L$3+1&gt;$B$12*24)*Forecast!$D$27:$L$27))*$D$7)</f>
        <v>0.588235294117647</v>
      </c>
      <c r="D39" s="37" t="n">
        <f aca="false">MIN(1,SUMPRODUCT(MAX((Forecast!$D$3:$L$3&lt;$C$13*24)*(Forecast!$D$3:$L$3+1&gt;$B$13*24)*Forecast!$D$27:$L$27))*$D$7)</f>
        <v>0.588235294117647</v>
      </c>
      <c r="E39" s="26" t="n">
        <f aca="false">COUNTIF(B39:D39,"&lt;="&amp;Assumptions!$B$15)</f>
        <v>1</v>
      </c>
    </row>
    <row r="40" customFormat="false" ht="15" hidden="false" customHeight="false" outlineLevel="0" collapsed="false">
      <c r="A40" s="26" t="s">
        <v>118</v>
      </c>
      <c r="B40" s="37" t="n">
        <f aca="false">MIN(1,SUMPRODUCT(MAX((Forecast!$D$3:$L$3&lt;$C$11*24)*(Forecast!$D$3:$L$3+1&gt;$B$11*24)*Forecast!$D$28:$L$28))*$D$7)</f>
        <v>0.470588235294118</v>
      </c>
      <c r="C40" s="37" t="n">
        <f aca="false">MIN(1,SUMPRODUCT(MAX((Forecast!$D$3:$L$3&lt;$C$12*24)*(Forecast!$D$3:$L$3+1&gt;$B$12*24)*Forecast!$D$28:$L$28))*$D$7)</f>
        <v>0.441176470588234</v>
      </c>
      <c r="D40" s="37" t="n">
        <f aca="false">MIN(1,SUMPRODUCT(MAX((Forecast!$D$3:$L$3&lt;$C$13*24)*(Forecast!$D$3:$L$3+1&gt;$B$13*24)*Forecast!$D$28:$L$28))*$D$7)</f>
        <v>0.588235294117647</v>
      </c>
      <c r="E40" s="26" t="n">
        <f aca="false">COUNTIF(B40:D40,"&lt;="&amp;Assumptions!$B$15)</f>
        <v>0</v>
      </c>
    </row>
    <row r="41" customFormat="false" ht="15" hidden="false" customHeight="false" outlineLevel="0" collapsed="false">
      <c r="A41" s="3" t="s">
        <v>219</v>
      </c>
      <c r="E41" s="3" t="n">
        <f aca="false">SUM(E36:E40)</f>
        <v>2</v>
      </c>
    </row>
    <row r="43" customFormat="false" ht="15" hidden="false" customHeight="false" outlineLevel="0" collapsed="false">
      <c r="A43" s="7" t="s">
        <v>222</v>
      </c>
    </row>
  </sheetData>
  <conditionalFormatting sqref="B18:D22">
    <cfRule type="colorScale" priority="2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B27:D31">
    <cfRule type="colorScale" priority="3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B36:D40">
    <cfRule type="colorScale" priority="4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12" min="4" style="0" width="10"/>
    <col collapsed="false" customWidth="true" hidden="false" outlineLevel="0" max="14" min="13" style="0" width="11"/>
  </cols>
  <sheetData>
    <row r="1" customFormat="false" ht="17.35" hidden="false" customHeight="false" outlineLevel="0" collapsed="false">
      <c r="A1" s="1" t="str">
        <f aca="false">"Room A Hourly Usage Forecast, "&amp;Assumptions!B3</f>
        <v>Room A Hourly Usage Forecast, Year 4</v>
      </c>
    </row>
    <row r="2" customFormat="false" ht="15" hidden="false" customHeight="false" outlineLevel="0" collapsed="false">
      <c r="A2" s="7" t="s">
        <v>223</v>
      </c>
    </row>
    <row r="3" customFormat="false" ht="15" hidden="false" customHeight="false" outlineLevel="0" collapsed="false">
      <c r="D3" s="35" t="n">
        <v>8</v>
      </c>
      <c r="E3" s="35" t="n">
        <v>9</v>
      </c>
      <c r="F3" s="35" t="n">
        <v>10</v>
      </c>
      <c r="G3" s="35" t="n">
        <v>11</v>
      </c>
      <c r="H3" s="35" t="n">
        <v>12</v>
      </c>
      <c r="I3" s="35" t="n">
        <v>13</v>
      </c>
      <c r="J3" s="35" t="n">
        <v>14</v>
      </c>
      <c r="K3" s="35" t="n">
        <v>15</v>
      </c>
      <c r="L3" s="35" t="n">
        <v>16</v>
      </c>
    </row>
    <row r="4" customFormat="false" ht="15" hidden="false" customHeight="false" outlineLevel="0" collapsed="false">
      <c r="A4" s="36" t="s">
        <v>198</v>
      </c>
    </row>
    <row r="5" customFormat="false" ht="30" hidden="false" customHeight="true" outlineLevel="0" collapsed="false">
      <c r="A5" s="8" t="s">
        <v>31</v>
      </c>
      <c r="B5" s="8" t="s">
        <v>58</v>
      </c>
      <c r="C5" s="8" t="s">
        <v>224</v>
      </c>
      <c r="D5" s="8" t="s">
        <v>71</v>
      </c>
      <c r="E5" s="8" t="s">
        <v>74</v>
      </c>
      <c r="F5" s="8" t="s">
        <v>76</v>
      </c>
      <c r="G5" s="8" t="s">
        <v>78</v>
      </c>
      <c r="H5" s="8" t="s">
        <v>79</v>
      </c>
      <c r="I5" s="8" t="s">
        <v>81</v>
      </c>
      <c r="J5" s="8" t="s">
        <v>85</v>
      </c>
      <c r="K5" s="8" t="s">
        <v>88</v>
      </c>
      <c r="L5" s="8" t="s">
        <v>91</v>
      </c>
      <c r="M5" s="8" t="s">
        <v>225</v>
      </c>
      <c r="N5" s="8" t="s">
        <v>201</v>
      </c>
    </row>
    <row r="6" customFormat="false" ht="15" hidden="false" customHeight="false" outlineLevel="0" collapsed="false">
      <c r="A6" s="26" t="s">
        <v>42</v>
      </c>
      <c r="B6" s="26" t="s">
        <v>70</v>
      </c>
      <c r="C6" s="26" t="n">
        <f aca="false">COUNTIF(D6:L6,"&gt;="&amp;Assumptions!$B$10)</f>
        <v>3</v>
      </c>
      <c r="D6" s="37" t="n">
        <f aca="false">MIN(1,(SUMIFS('Hourly Usage'!D$4:D$63,'Hourly Usage'!$A$4:$A$63,"Year 1",'Hourly Usage'!$B$4:$B$63,$A6,'Hourly Usage'!$C$4:$C$63,$B6)*Assumptions!$B$5+SUMIFS('Hourly Usage'!D$4:D$63,'Hourly Usage'!$A$4:$A$63,"Year 2",'Hourly Usage'!$B$4:$B$63,$A6,'Hourly Usage'!$C$4:$C$63,$B6)*Assumptions!$B$6+SUMIFS('Hourly Usage'!D$4:D$63,'Hourly Usage'!$A$4:$A$63,"Year 3",'Hourly Usage'!$B$4:$B$63,$A6,'Hourly Usage'!$C$4:$C$63,$B6)*Assumptions!$B$7)/SUM(Assumptions!$B$5:$B$7)*(1+Assumptions!$B$4))</f>
        <v>0.15</v>
      </c>
      <c r="E6" s="37" t="n">
        <f aca="false">MIN(1,(SUMIFS('Hourly Usage'!E$4:E$63,'Hourly Usage'!$A$4:$A$63,"Year 1",'Hourly Usage'!$B$4:$B$63,$A6,'Hourly Usage'!$C$4:$C$63,$B6)*Assumptions!$B$5+SUMIFS('Hourly Usage'!E$4:E$63,'Hourly Usage'!$A$4:$A$63,"Year 2",'Hourly Usage'!$B$4:$B$63,$A6,'Hourly Usage'!$C$4:$C$63,$B6)*Assumptions!$B$6+SUMIFS('Hourly Usage'!E$4:E$63,'Hourly Usage'!$A$4:$A$63,"Year 3",'Hourly Usage'!$B$4:$B$63,$A6,'Hourly Usage'!$C$4:$C$63,$B6)*Assumptions!$B$7)/SUM(Assumptions!$B$5:$B$7)*(1+Assumptions!$B$4))</f>
        <v>0.5</v>
      </c>
      <c r="F6" s="37" t="n">
        <f aca="false">MIN(1,(SUMIFS('Hourly Usage'!F$4:F$63,'Hourly Usage'!$A$4:$A$63,"Year 1",'Hourly Usage'!$B$4:$B$63,$A6,'Hourly Usage'!$C$4:$C$63,$B6)*Assumptions!$B$5+SUMIFS('Hourly Usage'!F$4:F$63,'Hourly Usage'!$A$4:$A$63,"Year 2",'Hourly Usage'!$B$4:$B$63,$A6,'Hourly Usage'!$C$4:$C$63,$B6)*Assumptions!$B$6+SUMIFS('Hourly Usage'!F$4:F$63,'Hourly Usage'!$A$4:$A$63,"Year 3",'Hourly Usage'!$B$4:$B$63,$A6,'Hourly Usage'!$C$4:$C$63,$B6)*Assumptions!$B$7)/SUM(Assumptions!$B$5:$B$7)*(1+Assumptions!$B$4))</f>
        <v>0.849999999999999</v>
      </c>
      <c r="G6" s="37" t="n">
        <f aca="false">MIN(1,(SUMIFS('Hourly Usage'!G$4:G$63,'Hourly Usage'!$A$4:$A$63,"Year 1",'Hourly Usage'!$B$4:$B$63,$A6,'Hourly Usage'!$C$4:$C$63,$B6)*Assumptions!$B$5+SUMIFS('Hourly Usage'!G$4:G$63,'Hourly Usage'!$A$4:$A$63,"Year 2",'Hourly Usage'!$B$4:$B$63,$A6,'Hourly Usage'!$C$4:$C$63,$B6)*Assumptions!$B$6+SUMIFS('Hourly Usage'!G$4:G$63,'Hourly Usage'!$A$4:$A$63,"Year 3",'Hourly Usage'!$B$4:$B$63,$A6,'Hourly Usage'!$C$4:$C$63,$B6)*Assumptions!$B$7)/SUM(Assumptions!$B$5:$B$7)*(1+Assumptions!$B$4))</f>
        <v>0.475000000000002</v>
      </c>
      <c r="H6" s="37" t="n">
        <f aca="false">MIN(1,(SUMIFS('Hourly Usage'!H$4:H$63,'Hourly Usage'!$A$4:$A$63,"Year 1",'Hourly Usage'!$B$4:$B$63,$A6,'Hourly Usage'!$C$4:$C$63,$B6)*Assumptions!$B$5+SUMIFS('Hourly Usage'!H$4:H$63,'Hourly Usage'!$A$4:$A$63,"Year 2",'Hourly Usage'!$B$4:$B$63,$A6,'Hourly Usage'!$C$4:$C$63,$B6)*Assumptions!$B$6+SUMIFS('Hourly Usage'!H$4:H$63,'Hourly Usage'!$A$4:$A$63,"Year 3",'Hourly Usage'!$B$4:$B$63,$A6,'Hourly Usage'!$C$4:$C$63,$B6)*Assumptions!$B$7)/SUM(Assumptions!$B$5:$B$7)*(1+Assumptions!$B$4))</f>
        <v>0.999999999999996</v>
      </c>
      <c r="I6" s="37" t="n">
        <f aca="false">MIN(1,(SUMIFS('Hourly Usage'!I$4:I$63,'Hourly Usage'!$A$4:$A$63,"Year 1",'Hourly Usage'!$B$4:$B$63,$A6,'Hourly Usage'!$C$4:$C$63,$B6)*Assumptions!$B$5+SUMIFS('Hourly Usage'!I$4:I$63,'Hourly Usage'!$A$4:$A$63,"Year 2",'Hourly Usage'!$B$4:$B$63,$A6,'Hourly Usage'!$C$4:$C$63,$B6)*Assumptions!$B$6+SUMIFS('Hourly Usage'!I$4:I$63,'Hourly Usage'!$A$4:$A$63,"Year 3",'Hourly Usage'!$B$4:$B$63,$A6,'Hourly Usage'!$C$4:$C$63,$B6)*Assumptions!$B$7)/SUM(Assumptions!$B$5:$B$7)*(1+Assumptions!$B$4))</f>
        <v>0.500000000000002</v>
      </c>
      <c r="J6" s="37" t="n">
        <f aca="false">MIN(1,(SUMIFS('Hourly Usage'!J$4:J$63,'Hourly Usage'!$A$4:$A$63,"Year 1",'Hourly Usage'!$B$4:$B$63,$A6,'Hourly Usage'!$C$4:$C$63,$B6)*Assumptions!$B$5+SUMIFS('Hourly Usage'!J$4:J$63,'Hourly Usage'!$A$4:$A$63,"Year 2",'Hourly Usage'!$B$4:$B$63,$A6,'Hourly Usage'!$C$4:$C$63,$B6)*Assumptions!$B$6+SUMIFS('Hourly Usage'!J$4:J$63,'Hourly Usage'!$A$4:$A$63,"Year 3",'Hourly Usage'!$B$4:$B$63,$A6,'Hourly Usage'!$C$4:$C$63,$B6)*Assumptions!$B$7)/SUM(Assumptions!$B$5:$B$7)*(1+Assumptions!$B$4))</f>
        <v>0</v>
      </c>
      <c r="K6" s="37" t="n">
        <f aca="false">MIN(1,(SUMIFS('Hourly Usage'!K$4:K$63,'Hourly Usage'!$A$4:$A$63,"Year 1",'Hourly Usage'!$B$4:$B$63,$A6,'Hourly Usage'!$C$4:$C$63,$B6)*Assumptions!$B$5+SUMIFS('Hourly Usage'!K$4:K$63,'Hourly Usage'!$A$4:$A$63,"Year 2",'Hourly Usage'!$B$4:$B$63,$A6,'Hourly Usage'!$C$4:$C$63,$B6)*Assumptions!$B$6+SUMIFS('Hourly Usage'!K$4:K$63,'Hourly Usage'!$A$4:$A$63,"Year 3",'Hourly Usage'!$B$4:$B$63,$A6,'Hourly Usage'!$C$4:$C$63,$B6)*Assumptions!$B$7)/SUM(Assumptions!$B$5:$B$7)*(1+Assumptions!$B$4))</f>
        <v>0.499999999999996</v>
      </c>
      <c r="L6" s="37" t="n">
        <f aca="false">MIN(1,(SUMIFS('Hourly Usage'!L$4:L$63,'Hourly Usage'!$A$4:$A$63,"Year 1",'Hourly Usage'!$B$4:$B$63,$A6,'Hourly Usage'!$C$4:$C$63,$B6)*Assumptions!$B$5+SUMIFS('Hourly Usage'!L$4:L$63,'Hourly Usage'!$A$4:$A$63,"Year 2",'Hourly Usage'!$B$4:$B$63,$A6,'Hourly Usage'!$C$4:$C$63,$B6)*Assumptions!$B$6+SUMIFS('Hourly Usage'!L$4:L$63,'Hourly Usage'!$A$4:$A$63,"Year 3",'Hourly Usage'!$B$4:$B$63,$A6,'Hourly Usage'!$C$4:$C$63,$B6)*Assumptions!$B$7)/SUM(Assumptions!$B$5:$B$7)*(1+Assumptions!$B$4))</f>
        <v>1</v>
      </c>
      <c r="M6" s="21" t="n">
        <f aca="false">SUM(D6:L6)</f>
        <v>4.975</v>
      </c>
      <c r="N6" s="10" t="n">
        <f aca="false">9-M6</f>
        <v>4.02500000000001</v>
      </c>
    </row>
    <row r="7" customFormat="false" ht="15" hidden="false" customHeight="false" outlineLevel="0" collapsed="false">
      <c r="A7" s="26" t="s">
        <v>42</v>
      </c>
      <c r="B7" s="26" t="s">
        <v>94</v>
      </c>
      <c r="C7" s="26" t="n">
        <f aca="false">COUNTIF(D7:L7,"&gt;="&amp;Assumptions!$B$10)</f>
        <v>3</v>
      </c>
      <c r="D7" s="37" t="n">
        <f aca="false">MIN(1,(SUMIFS('Hourly Usage'!D$4:D$63,'Hourly Usage'!$A$4:$A$63,"Year 1",'Hourly Usage'!$B$4:$B$63,$A7,'Hourly Usage'!$C$4:$C$63,$B7)*Assumptions!$B$5+SUMIFS('Hourly Usage'!D$4:D$63,'Hourly Usage'!$A$4:$A$63,"Year 2",'Hourly Usage'!$B$4:$B$63,$A7,'Hourly Usage'!$C$4:$C$63,$B7)*Assumptions!$B$6+SUMIFS('Hourly Usage'!D$4:D$63,'Hourly Usage'!$A$4:$A$63,"Year 3",'Hourly Usage'!$B$4:$B$63,$A7,'Hourly Usage'!$C$4:$C$63,$B7)*Assumptions!$B$7)/SUM(Assumptions!$B$5:$B$7)*(1+Assumptions!$B$4))</f>
        <v>0</v>
      </c>
      <c r="E7" s="37" t="n">
        <f aca="false">MIN(1,(SUMIFS('Hourly Usage'!E$4:E$63,'Hourly Usage'!$A$4:$A$63,"Year 1",'Hourly Usage'!$B$4:$B$63,$A7,'Hourly Usage'!$C$4:$C$63,$B7)*Assumptions!$B$5+SUMIFS('Hourly Usage'!E$4:E$63,'Hourly Usage'!$A$4:$A$63,"Year 2",'Hourly Usage'!$B$4:$B$63,$A7,'Hourly Usage'!$C$4:$C$63,$B7)*Assumptions!$B$6+SUMIFS('Hourly Usage'!E$4:E$63,'Hourly Usage'!$A$4:$A$63,"Year 3",'Hourly Usage'!$B$4:$B$63,$A7,'Hourly Usage'!$C$4:$C$63,$B7)*Assumptions!$B$7)/SUM(Assumptions!$B$5:$B$7)*(1+Assumptions!$B$4))</f>
        <v>0.3</v>
      </c>
      <c r="F7" s="37" t="n">
        <f aca="false">MIN(1,(SUMIFS('Hourly Usage'!F$4:F$63,'Hourly Usage'!$A$4:$A$63,"Year 1",'Hourly Usage'!$B$4:$B$63,$A7,'Hourly Usage'!$C$4:$C$63,$B7)*Assumptions!$B$5+SUMIFS('Hourly Usage'!F$4:F$63,'Hourly Usage'!$A$4:$A$63,"Year 2",'Hourly Usage'!$B$4:$B$63,$A7,'Hourly Usage'!$C$4:$C$63,$B7)*Assumptions!$B$6+SUMIFS('Hourly Usage'!F$4:F$63,'Hourly Usage'!$A$4:$A$63,"Year 3",'Hourly Usage'!$B$4:$B$63,$A7,'Hourly Usage'!$C$4:$C$63,$B7)*Assumptions!$B$7)/SUM(Assumptions!$B$5:$B$7)*(1+Assumptions!$B$4))</f>
        <v>0.3</v>
      </c>
      <c r="G7" s="37" t="n">
        <f aca="false">MIN(1,(SUMIFS('Hourly Usage'!G$4:G$63,'Hourly Usage'!$A$4:$A$63,"Year 1",'Hourly Usage'!$B$4:$B$63,$A7,'Hourly Usage'!$C$4:$C$63,$B7)*Assumptions!$B$5+SUMIFS('Hourly Usage'!G$4:G$63,'Hourly Usage'!$A$4:$A$63,"Year 2",'Hourly Usage'!$B$4:$B$63,$A7,'Hourly Usage'!$C$4:$C$63,$B7)*Assumptions!$B$6+SUMIFS('Hourly Usage'!G$4:G$63,'Hourly Usage'!$A$4:$A$63,"Year 3",'Hourly Usage'!$B$4:$B$63,$A7,'Hourly Usage'!$C$4:$C$63,$B7)*Assumptions!$B$7)/SUM(Assumptions!$B$5:$B$7)*(1+Assumptions!$B$4))</f>
        <v>0.3</v>
      </c>
      <c r="H7" s="37" t="n">
        <f aca="false">MIN(1,(SUMIFS('Hourly Usage'!H$4:H$63,'Hourly Usage'!$A$4:$A$63,"Year 1",'Hourly Usage'!$B$4:$B$63,$A7,'Hourly Usage'!$C$4:$C$63,$B7)*Assumptions!$B$5+SUMIFS('Hourly Usage'!H$4:H$63,'Hourly Usage'!$A$4:$A$63,"Year 2",'Hourly Usage'!$B$4:$B$63,$A7,'Hourly Usage'!$C$4:$C$63,$B7)*Assumptions!$B$6+SUMIFS('Hourly Usage'!H$4:H$63,'Hourly Usage'!$A$4:$A$63,"Year 3",'Hourly Usage'!$B$4:$B$63,$A7,'Hourly Usage'!$C$4:$C$63,$B7)*Assumptions!$B$7)/SUM(Assumptions!$B$5:$B$7)*(1+Assumptions!$B$4))</f>
        <v>0.35</v>
      </c>
      <c r="I7" s="37" t="n">
        <f aca="false">MIN(1,(SUMIFS('Hourly Usage'!I$4:I$63,'Hourly Usage'!$A$4:$A$63,"Year 1",'Hourly Usage'!$B$4:$B$63,$A7,'Hourly Usage'!$C$4:$C$63,$B7)*Assumptions!$B$5+SUMIFS('Hourly Usage'!I$4:I$63,'Hourly Usage'!$A$4:$A$63,"Year 2",'Hourly Usage'!$B$4:$B$63,$A7,'Hourly Usage'!$C$4:$C$63,$B7)*Assumptions!$B$6+SUMIFS('Hourly Usage'!I$4:I$63,'Hourly Usage'!$A$4:$A$63,"Year 3",'Hourly Usage'!$B$4:$B$63,$A7,'Hourly Usage'!$C$4:$C$63,$B7)*Assumptions!$B$7)/SUM(Assumptions!$B$5:$B$7)*(1+Assumptions!$B$4))</f>
        <v>1</v>
      </c>
      <c r="J7" s="37" t="n">
        <f aca="false">MIN(1,(SUMIFS('Hourly Usage'!J$4:J$63,'Hourly Usage'!$A$4:$A$63,"Year 1",'Hourly Usage'!$B$4:$B$63,$A7,'Hourly Usage'!$C$4:$C$63,$B7)*Assumptions!$B$5+SUMIFS('Hourly Usage'!J$4:J$63,'Hourly Usage'!$A$4:$A$63,"Year 2",'Hourly Usage'!$B$4:$B$63,$A7,'Hourly Usage'!$C$4:$C$63,$B7)*Assumptions!$B$6+SUMIFS('Hourly Usage'!J$4:J$63,'Hourly Usage'!$A$4:$A$63,"Year 3",'Hourly Usage'!$B$4:$B$63,$A7,'Hourly Usage'!$C$4:$C$63,$B7)*Assumptions!$B$7)/SUM(Assumptions!$B$5:$B$7)*(1+Assumptions!$B$4))</f>
        <v>0.799999999999999</v>
      </c>
      <c r="K7" s="37" t="n">
        <f aca="false">MIN(1,(SUMIFS('Hourly Usage'!K$4:K$63,'Hourly Usage'!$A$4:$A$63,"Year 1",'Hourly Usage'!$B$4:$B$63,$A7,'Hourly Usage'!$C$4:$C$63,$B7)*Assumptions!$B$5+SUMIFS('Hourly Usage'!K$4:K$63,'Hourly Usage'!$A$4:$A$63,"Year 2",'Hourly Usage'!$B$4:$B$63,$A7,'Hourly Usage'!$C$4:$C$63,$B7)*Assumptions!$B$6+SUMIFS('Hourly Usage'!K$4:K$63,'Hourly Usage'!$A$4:$A$63,"Year 3",'Hourly Usage'!$B$4:$B$63,$A7,'Hourly Usage'!$C$4:$C$63,$B7)*Assumptions!$B$7)/SUM(Assumptions!$B$5:$B$7)*(1+Assumptions!$B$4))</f>
        <v>0.749999999999999</v>
      </c>
      <c r="L7" s="37" t="n">
        <f aca="false">MIN(1,(SUMIFS('Hourly Usage'!L$4:L$63,'Hourly Usage'!$A$4:$A$63,"Year 1",'Hourly Usage'!$B$4:$B$63,$A7,'Hourly Usage'!$C$4:$C$63,$B7)*Assumptions!$B$5+SUMIFS('Hourly Usage'!L$4:L$63,'Hourly Usage'!$A$4:$A$63,"Year 2",'Hourly Usage'!$B$4:$B$63,$A7,'Hourly Usage'!$C$4:$C$63,$B7)*Assumptions!$B$6+SUMIFS('Hourly Usage'!L$4:L$63,'Hourly Usage'!$A$4:$A$63,"Year 3",'Hourly Usage'!$B$4:$B$63,$A7,'Hourly Usage'!$C$4:$C$63,$B7)*Assumptions!$B$7)/SUM(Assumptions!$B$5:$B$7)*(1+Assumptions!$B$4))</f>
        <v>0.250000000000002</v>
      </c>
      <c r="M7" s="21" t="n">
        <f aca="false">SUM(D7:L7)</f>
        <v>4.05</v>
      </c>
      <c r="N7" s="10" t="n">
        <f aca="false">9-M7</f>
        <v>4.95</v>
      </c>
    </row>
    <row r="8" customFormat="false" ht="15" hidden="false" customHeight="false" outlineLevel="0" collapsed="false">
      <c r="A8" s="26" t="s">
        <v>42</v>
      </c>
      <c r="B8" s="26" t="s">
        <v>105</v>
      </c>
      <c r="C8" s="26" t="n">
        <f aca="false">COUNTIF(D8:L8,"&gt;="&amp;Assumptions!$B$10)</f>
        <v>1</v>
      </c>
      <c r="D8" s="37" t="n">
        <f aca="false">MIN(1,(SUMIFS('Hourly Usage'!D$4:D$63,'Hourly Usage'!$A$4:$A$63,"Year 1",'Hourly Usage'!$B$4:$B$63,$A8,'Hourly Usage'!$C$4:$C$63,$B8)*Assumptions!$B$5+SUMIFS('Hourly Usage'!D$4:D$63,'Hourly Usage'!$A$4:$A$63,"Year 2",'Hourly Usage'!$B$4:$B$63,$A8,'Hourly Usage'!$C$4:$C$63,$B8)*Assumptions!$B$6+SUMIFS('Hourly Usage'!D$4:D$63,'Hourly Usage'!$A$4:$A$63,"Year 3",'Hourly Usage'!$B$4:$B$63,$A8,'Hourly Usage'!$C$4:$C$63,$B8)*Assumptions!$B$7)/SUM(Assumptions!$B$5:$B$7)*(1+Assumptions!$B$4))</f>
        <v>0</v>
      </c>
      <c r="E8" s="37" t="n">
        <f aca="false">MIN(1,(SUMIFS('Hourly Usage'!E$4:E$63,'Hourly Usage'!$A$4:$A$63,"Year 1",'Hourly Usage'!$B$4:$B$63,$A8,'Hourly Usage'!$C$4:$C$63,$B8)*Assumptions!$B$5+SUMIFS('Hourly Usage'!E$4:E$63,'Hourly Usage'!$A$4:$A$63,"Year 2",'Hourly Usage'!$B$4:$B$63,$A8,'Hourly Usage'!$C$4:$C$63,$B8)*Assumptions!$B$6+SUMIFS('Hourly Usage'!E$4:E$63,'Hourly Usage'!$A$4:$A$63,"Year 3",'Hourly Usage'!$B$4:$B$63,$A8,'Hourly Usage'!$C$4:$C$63,$B8)*Assumptions!$B$7)/SUM(Assumptions!$B$5:$B$7)*(1+Assumptions!$B$4))</f>
        <v>0.2</v>
      </c>
      <c r="F8" s="37" t="n">
        <f aca="false">MIN(1,(SUMIFS('Hourly Usage'!F$4:F$63,'Hourly Usage'!$A$4:$A$63,"Year 1",'Hourly Usage'!$B$4:$B$63,$A8,'Hourly Usage'!$C$4:$C$63,$B8)*Assumptions!$B$5+SUMIFS('Hourly Usage'!F$4:F$63,'Hourly Usage'!$A$4:$A$63,"Year 2",'Hourly Usage'!$B$4:$B$63,$A8,'Hourly Usage'!$C$4:$C$63,$B8)*Assumptions!$B$6+SUMIFS('Hourly Usage'!F$4:F$63,'Hourly Usage'!$A$4:$A$63,"Year 3",'Hourly Usage'!$B$4:$B$63,$A8,'Hourly Usage'!$C$4:$C$63,$B8)*Assumptions!$B$7)/SUM(Assumptions!$B$5:$B$7)*(1+Assumptions!$B$4))</f>
        <v>0.2</v>
      </c>
      <c r="G8" s="37" t="n">
        <f aca="false">MIN(1,(SUMIFS('Hourly Usage'!G$4:G$63,'Hourly Usage'!$A$4:$A$63,"Year 1",'Hourly Usage'!$B$4:$B$63,$A8,'Hourly Usage'!$C$4:$C$63,$B8)*Assumptions!$B$5+SUMIFS('Hourly Usage'!G$4:G$63,'Hourly Usage'!$A$4:$A$63,"Year 2",'Hourly Usage'!$B$4:$B$63,$A8,'Hourly Usage'!$C$4:$C$63,$B8)*Assumptions!$B$6+SUMIFS('Hourly Usage'!G$4:G$63,'Hourly Usage'!$A$4:$A$63,"Year 3",'Hourly Usage'!$B$4:$B$63,$A8,'Hourly Usage'!$C$4:$C$63,$B8)*Assumptions!$B$7)/SUM(Assumptions!$B$5:$B$7)*(1+Assumptions!$B$4))</f>
        <v>0.100000000000001</v>
      </c>
      <c r="H8" s="37" t="n">
        <f aca="false">MIN(1,(SUMIFS('Hourly Usage'!H$4:H$63,'Hourly Usage'!$A$4:$A$63,"Year 1",'Hourly Usage'!$B$4:$B$63,$A8,'Hourly Usage'!$C$4:$C$63,$B8)*Assumptions!$B$5+SUMIFS('Hourly Usage'!H$4:H$63,'Hourly Usage'!$A$4:$A$63,"Year 2",'Hourly Usage'!$B$4:$B$63,$A8,'Hourly Usage'!$C$4:$C$63,$B8)*Assumptions!$B$6+SUMIFS('Hourly Usage'!H$4:H$63,'Hourly Usage'!$A$4:$A$63,"Year 3",'Hourly Usage'!$B$4:$B$63,$A8,'Hourly Usage'!$C$4:$C$63,$B8)*Assumptions!$B$7)/SUM(Assumptions!$B$5:$B$7)*(1+Assumptions!$B$4))</f>
        <v>0.999999999999997</v>
      </c>
      <c r="I8" s="37" t="n">
        <f aca="false">MIN(1,(SUMIFS('Hourly Usage'!I$4:I$63,'Hourly Usage'!$A$4:$A$63,"Year 1",'Hourly Usage'!$B$4:$B$63,$A8,'Hourly Usage'!$C$4:$C$63,$B8)*Assumptions!$B$5+SUMIFS('Hourly Usage'!I$4:I$63,'Hourly Usage'!$A$4:$A$63,"Year 2",'Hourly Usage'!$B$4:$B$63,$A8,'Hourly Usage'!$C$4:$C$63,$B8)*Assumptions!$B$6+SUMIFS('Hourly Usage'!I$4:I$63,'Hourly Usage'!$A$4:$A$63,"Year 3",'Hourly Usage'!$B$4:$B$63,$A8,'Hourly Usage'!$C$4:$C$63,$B8)*Assumptions!$B$7)/SUM(Assumptions!$B$5:$B$7)*(1+Assumptions!$B$4))</f>
        <v>0.425000000000004</v>
      </c>
      <c r="J8" s="37" t="n">
        <f aca="false">MIN(1,(SUMIFS('Hourly Usage'!J$4:J$63,'Hourly Usage'!$A$4:$A$63,"Year 1",'Hourly Usage'!$B$4:$B$63,$A8,'Hourly Usage'!$C$4:$C$63,$B8)*Assumptions!$B$5+SUMIFS('Hourly Usage'!J$4:J$63,'Hourly Usage'!$A$4:$A$63,"Year 2",'Hourly Usage'!$B$4:$B$63,$A8,'Hourly Usage'!$C$4:$C$63,$B8)*Assumptions!$B$6+SUMIFS('Hourly Usage'!J$4:J$63,'Hourly Usage'!$A$4:$A$63,"Year 3",'Hourly Usage'!$B$4:$B$63,$A8,'Hourly Usage'!$C$4:$C$63,$B8)*Assumptions!$B$7)/SUM(Assumptions!$B$5:$B$7)*(1+Assumptions!$B$4))</f>
        <v>0.2</v>
      </c>
      <c r="K8" s="37" t="n">
        <f aca="false">MIN(1,(SUMIFS('Hourly Usage'!K$4:K$63,'Hourly Usage'!$A$4:$A$63,"Year 1",'Hourly Usage'!$B$4:$B$63,$A8,'Hourly Usage'!$C$4:$C$63,$B8)*Assumptions!$B$5+SUMIFS('Hourly Usage'!K$4:K$63,'Hourly Usage'!$A$4:$A$63,"Year 2",'Hourly Usage'!$B$4:$B$63,$A8,'Hourly Usage'!$C$4:$C$63,$B8)*Assumptions!$B$6+SUMIFS('Hourly Usage'!K$4:K$63,'Hourly Usage'!$A$4:$A$63,"Year 3",'Hourly Usage'!$B$4:$B$63,$A8,'Hourly Usage'!$C$4:$C$63,$B8)*Assumptions!$B$7)/SUM(Assumptions!$B$5:$B$7)*(1+Assumptions!$B$4))</f>
        <v>0.449999999999997</v>
      </c>
      <c r="L8" s="37" t="n">
        <f aca="false">MIN(1,(SUMIFS('Hourly Usage'!L$4:L$63,'Hourly Usage'!$A$4:$A$63,"Year 1",'Hourly Usage'!$B$4:$B$63,$A8,'Hourly Usage'!$C$4:$C$63,$B8)*Assumptions!$B$5+SUMIFS('Hourly Usage'!L$4:L$63,'Hourly Usage'!$A$4:$A$63,"Year 2",'Hourly Usage'!$B$4:$B$63,$A8,'Hourly Usage'!$C$4:$C$63,$B8)*Assumptions!$B$6+SUMIFS('Hourly Usage'!L$4:L$63,'Hourly Usage'!$A$4:$A$63,"Year 3",'Hourly Usage'!$B$4:$B$63,$A8,'Hourly Usage'!$C$4:$C$63,$B8)*Assumptions!$B$7)/SUM(Assumptions!$B$5:$B$7)*(1+Assumptions!$B$4))</f>
        <v>0.7</v>
      </c>
      <c r="M8" s="21" t="n">
        <f aca="false">SUM(D8:L8)</f>
        <v>3.275</v>
      </c>
      <c r="N8" s="10" t="n">
        <f aca="false">9-M8</f>
        <v>5.725</v>
      </c>
    </row>
    <row r="9" customFormat="false" ht="15" hidden="false" customHeight="false" outlineLevel="0" collapsed="false">
      <c r="A9" s="26" t="s">
        <v>42</v>
      </c>
      <c r="B9" s="26" t="s">
        <v>117</v>
      </c>
      <c r="C9" s="26" t="n">
        <f aca="false">COUNTIF(D9:L9,"&gt;="&amp;Assumptions!$B$10)</f>
        <v>2</v>
      </c>
      <c r="D9" s="37" t="n">
        <f aca="false">MIN(1,(SUMIFS('Hourly Usage'!D$4:D$63,'Hourly Usage'!$A$4:$A$63,"Year 1",'Hourly Usage'!$B$4:$B$63,$A9,'Hourly Usage'!$C$4:$C$63,$B9)*Assumptions!$B$5+SUMIFS('Hourly Usage'!D$4:D$63,'Hourly Usage'!$A$4:$A$63,"Year 2",'Hourly Usage'!$B$4:$B$63,$A9,'Hourly Usage'!$C$4:$C$63,$B9)*Assumptions!$B$6+SUMIFS('Hourly Usage'!D$4:D$63,'Hourly Usage'!$A$4:$A$63,"Year 3",'Hourly Usage'!$B$4:$B$63,$A9,'Hourly Usage'!$C$4:$C$63,$B9)*Assumptions!$B$7)/SUM(Assumptions!$B$5:$B$7)*(1+Assumptions!$B$4))</f>
        <v>0</v>
      </c>
      <c r="E9" s="37" t="n">
        <f aca="false">MIN(1,(SUMIFS('Hourly Usage'!E$4:E$63,'Hourly Usage'!$A$4:$A$63,"Year 1",'Hourly Usage'!$B$4:$B$63,$A9,'Hourly Usage'!$C$4:$C$63,$B9)*Assumptions!$B$5+SUMIFS('Hourly Usage'!E$4:E$63,'Hourly Usage'!$A$4:$A$63,"Year 2",'Hourly Usage'!$B$4:$B$63,$A9,'Hourly Usage'!$C$4:$C$63,$B9)*Assumptions!$B$6+SUMIFS('Hourly Usage'!E$4:E$63,'Hourly Usage'!$A$4:$A$63,"Year 3",'Hourly Usage'!$B$4:$B$63,$A9,'Hourly Usage'!$C$4:$C$63,$B9)*Assumptions!$B$7)/SUM(Assumptions!$B$5:$B$7)*(1+Assumptions!$B$4))</f>
        <v>0.3</v>
      </c>
      <c r="F9" s="37" t="n">
        <f aca="false">MIN(1,(SUMIFS('Hourly Usage'!F$4:F$63,'Hourly Usage'!$A$4:$A$63,"Year 1",'Hourly Usage'!$B$4:$B$63,$A9,'Hourly Usage'!$C$4:$C$63,$B9)*Assumptions!$B$5+SUMIFS('Hourly Usage'!F$4:F$63,'Hourly Usage'!$A$4:$A$63,"Year 2",'Hourly Usage'!$B$4:$B$63,$A9,'Hourly Usage'!$C$4:$C$63,$B9)*Assumptions!$B$6+SUMIFS('Hourly Usage'!F$4:F$63,'Hourly Usage'!$A$4:$A$63,"Year 3",'Hourly Usage'!$B$4:$B$63,$A9,'Hourly Usage'!$C$4:$C$63,$B9)*Assumptions!$B$7)/SUM(Assumptions!$B$5:$B$7)*(1+Assumptions!$B$4))</f>
        <v>0.3</v>
      </c>
      <c r="G9" s="37" t="n">
        <f aca="false">MIN(1,(SUMIFS('Hourly Usage'!G$4:G$63,'Hourly Usage'!$A$4:$A$63,"Year 1",'Hourly Usage'!$B$4:$B$63,$A9,'Hourly Usage'!$C$4:$C$63,$B9)*Assumptions!$B$5+SUMIFS('Hourly Usage'!G$4:G$63,'Hourly Usage'!$A$4:$A$63,"Year 2",'Hourly Usage'!$B$4:$B$63,$A9,'Hourly Usage'!$C$4:$C$63,$B9)*Assumptions!$B$6+SUMIFS('Hourly Usage'!G$4:G$63,'Hourly Usage'!$A$4:$A$63,"Year 3",'Hourly Usage'!$B$4:$B$63,$A9,'Hourly Usage'!$C$4:$C$63,$B9)*Assumptions!$B$7)/SUM(Assumptions!$B$5:$B$7)*(1+Assumptions!$B$4))</f>
        <v>0.3</v>
      </c>
      <c r="H9" s="37" t="n">
        <f aca="false">MIN(1,(SUMIFS('Hourly Usage'!H$4:H$63,'Hourly Usage'!$A$4:$A$63,"Year 1",'Hourly Usage'!$B$4:$B$63,$A9,'Hourly Usage'!$C$4:$C$63,$B9)*Assumptions!$B$5+SUMIFS('Hourly Usage'!H$4:H$63,'Hourly Usage'!$A$4:$A$63,"Year 2",'Hourly Usage'!$B$4:$B$63,$A9,'Hourly Usage'!$C$4:$C$63,$B9)*Assumptions!$B$6+SUMIFS('Hourly Usage'!H$4:H$63,'Hourly Usage'!$A$4:$A$63,"Year 3",'Hourly Usage'!$B$4:$B$63,$A9,'Hourly Usage'!$C$4:$C$63,$B9)*Assumptions!$B$7)/SUM(Assumptions!$B$5:$B$7)*(1+Assumptions!$B$4))</f>
        <v>0.999999999999999</v>
      </c>
      <c r="I9" s="37" t="n">
        <f aca="false">MIN(1,(SUMIFS('Hourly Usage'!I$4:I$63,'Hourly Usage'!$A$4:$A$63,"Year 1",'Hourly Usage'!$B$4:$B$63,$A9,'Hourly Usage'!$C$4:$C$63,$B9)*Assumptions!$B$5+SUMIFS('Hourly Usage'!I$4:I$63,'Hourly Usage'!$A$4:$A$63,"Year 2",'Hourly Usage'!$B$4:$B$63,$A9,'Hourly Usage'!$C$4:$C$63,$B9)*Assumptions!$B$6+SUMIFS('Hourly Usage'!I$4:I$63,'Hourly Usage'!$A$4:$A$63,"Year 3",'Hourly Usage'!$B$4:$B$63,$A9,'Hourly Usage'!$C$4:$C$63,$B9)*Assumptions!$B$7)/SUM(Assumptions!$B$5:$B$7)*(1+Assumptions!$B$4))</f>
        <v>0.583333333333337</v>
      </c>
      <c r="J9" s="37" t="n">
        <f aca="false">MIN(1,(SUMIFS('Hourly Usage'!J$4:J$63,'Hourly Usage'!$A$4:$A$63,"Year 1",'Hourly Usage'!$B$4:$B$63,$A9,'Hourly Usage'!$C$4:$C$63,$B9)*Assumptions!$B$5+SUMIFS('Hourly Usage'!J$4:J$63,'Hourly Usage'!$A$4:$A$63,"Year 2",'Hourly Usage'!$B$4:$B$63,$A9,'Hourly Usage'!$C$4:$C$63,$B9)*Assumptions!$B$6+SUMIFS('Hourly Usage'!J$4:J$63,'Hourly Usage'!$A$4:$A$63,"Year 3",'Hourly Usage'!$B$4:$B$63,$A9,'Hourly Usage'!$C$4:$C$63,$B9)*Assumptions!$B$7)/SUM(Assumptions!$B$5:$B$7)*(1+Assumptions!$B$4))</f>
        <v>0</v>
      </c>
      <c r="K9" s="37" t="n">
        <f aca="false">MIN(1,(SUMIFS('Hourly Usage'!K$4:K$63,'Hourly Usage'!$A$4:$A$63,"Year 1",'Hourly Usage'!$B$4:$B$63,$A9,'Hourly Usage'!$C$4:$C$63,$B9)*Assumptions!$B$5+SUMIFS('Hourly Usage'!K$4:K$63,'Hourly Usage'!$A$4:$A$63,"Year 2",'Hourly Usage'!$B$4:$B$63,$A9,'Hourly Usage'!$C$4:$C$63,$B9)*Assumptions!$B$6+SUMIFS('Hourly Usage'!K$4:K$63,'Hourly Usage'!$A$4:$A$63,"Year 3",'Hourly Usage'!$B$4:$B$63,$A9,'Hourly Usage'!$C$4:$C$63,$B9)*Assumptions!$B$7)/SUM(Assumptions!$B$5:$B$7)*(1+Assumptions!$B$4))</f>
        <v>0.999999999999999</v>
      </c>
      <c r="L9" s="37" t="n">
        <f aca="false">MIN(1,(SUMIFS('Hourly Usage'!L$4:L$63,'Hourly Usage'!$A$4:$A$63,"Year 1",'Hourly Usage'!$B$4:$B$63,$A9,'Hourly Usage'!$C$4:$C$63,$B9)*Assumptions!$B$5+SUMIFS('Hourly Usage'!L$4:L$63,'Hourly Usage'!$A$4:$A$63,"Year 2",'Hourly Usage'!$B$4:$B$63,$A9,'Hourly Usage'!$C$4:$C$63,$B9)*Assumptions!$B$6+SUMIFS('Hourly Usage'!L$4:L$63,'Hourly Usage'!$A$4:$A$63,"Year 3",'Hourly Usage'!$B$4:$B$63,$A9,'Hourly Usage'!$C$4:$C$63,$B9)*Assumptions!$B$7)/SUM(Assumptions!$B$5:$B$7)*(1+Assumptions!$B$4))</f>
        <v>0.100000000000001</v>
      </c>
      <c r="M9" s="21" t="n">
        <f aca="false">SUM(D9:L9)</f>
        <v>3.58333333333333</v>
      </c>
      <c r="N9" s="10" t="n">
        <f aca="false">9-M9</f>
        <v>5.41666666666667</v>
      </c>
    </row>
    <row r="10" customFormat="false" ht="15" hidden="false" customHeight="false" outlineLevel="0" collapsed="false">
      <c r="A10" s="26" t="s">
        <v>42</v>
      </c>
      <c r="B10" s="26" t="s">
        <v>118</v>
      </c>
      <c r="C10" s="26" t="n">
        <f aca="false">COUNTIF(D10:L10,"&gt;="&amp;Assumptions!$B$10)</f>
        <v>1</v>
      </c>
      <c r="D10" s="37" t="n">
        <f aca="false">MIN(1,(SUMIFS('Hourly Usage'!D$4:D$63,'Hourly Usage'!$A$4:$A$63,"Year 1",'Hourly Usage'!$B$4:$B$63,$A10,'Hourly Usage'!$C$4:$C$63,$B10)*Assumptions!$B$5+SUMIFS('Hourly Usage'!D$4:D$63,'Hourly Usage'!$A$4:$A$63,"Year 2",'Hourly Usage'!$B$4:$B$63,$A10,'Hourly Usage'!$C$4:$C$63,$B10)*Assumptions!$B$6+SUMIFS('Hourly Usage'!D$4:D$63,'Hourly Usage'!$A$4:$A$63,"Year 3",'Hourly Usage'!$B$4:$B$63,$A10,'Hourly Usage'!$C$4:$C$63,$B10)*Assumptions!$B$7)/SUM(Assumptions!$B$5:$B$7)*(1+Assumptions!$B$4))</f>
        <v>0</v>
      </c>
      <c r="E10" s="37" t="n">
        <f aca="false">MIN(1,(SUMIFS('Hourly Usage'!E$4:E$63,'Hourly Usage'!$A$4:$A$63,"Year 1",'Hourly Usage'!$B$4:$B$63,$A10,'Hourly Usage'!$C$4:$C$63,$B10)*Assumptions!$B$5+SUMIFS('Hourly Usage'!E$4:E$63,'Hourly Usage'!$A$4:$A$63,"Year 2",'Hourly Usage'!$B$4:$B$63,$A10,'Hourly Usage'!$C$4:$C$63,$B10)*Assumptions!$B$6+SUMIFS('Hourly Usage'!E$4:E$63,'Hourly Usage'!$A$4:$A$63,"Year 3",'Hourly Usage'!$B$4:$B$63,$A10,'Hourly Usage'!$C$4:$C$63,$B10)*Assumptions!$B$7)/SUM(Assumptions!$B$5:$B$7)*(1+Assumptions!$B$4))</f>
        <v>0.7</v>
      </c>
      <c r="F10" s="37" t="n">
        <f aca="false">MIN(1,(SUMIFS('Hourly Usage'!F$4:F$63,'Hourly Usage'!$A$4:$A$63,"Year 1",'Hourly Usage'!$B$4:$B$63,$A10,'Hourly Usage'!$C$4:$C$63,$B10)*Assumptions!$B$5+SUMIFS('Hourly Usage'!F$4:F$63,'Hourly Usage'!$A$4:$A$63,"Year 2",'Hourly Usage'!$B$4:$B$63,$A10,'Hourly Usage'!$C$4:$C$63,$B10)*Assumptions!$B$6+SUMIFS('Hourly Usage'!F$4:F$63,'Hourly Usage'!$A$4:$A$63,"Year 3",'Hourly Usage'!$B$4:$B$63,$A10,'Hourly Usage'!$C$4:$C$63,$B10)*Assumptions!$B$7)/SUM(Assumptions!$B$5:$B$7)*(1+Assumptions!$B$4))</f>
        <v>0.699999999999998</v>
      </c>
      <c r="G10" s="37" t="n">
        <f aca="false">MIN(1,(SUMIFS('Hourly Usage'!G$4:G$63,'Hourly Usage'!$A$4:$A$63,"Year 1",'Hourly Usage'!$B$4:$B$63,$A10,'Hourly Usage'!$C$4:$C$63,$B10)*Assumptions!$B$5+SUMIFS('Hourly Usage'!G$4:G$63,'Hourly Usage'!$A$4:$A$63,"Year 2",'Hourly Usage'!$B$4:$B$63,$A10,'Hourly Usage'!$C$4:$C$63,$B10)*Assumptions!$B$6+SUMIFS('Hourly Usage'!G$4:G$63,'Hourly Usage'!$A$4:$A$63,"Year 3",'Hourly Usage'!$B$4:$B$63,$A10,'Hourly Usage'!$C$4:$C$63,$B10)*Assumptions!$B$7)/SUM(Assumptions!$B$5:$B$7)*(1+Assumptions!$B$4))</f>
        <v>0.250000000000002</v>
      </c>
      <c r="H10" s="37" t="n">
        <f aca="false">MIN(1,(SUMIFS('Hourly Usage'!H$4:H$63,'Hourly Usage'!$A$4:$A$63,"Year 1",'Hourly Usage'!$B$4:$B$63,$A10,'Hourly Usage'!$C$4:$C$63,$B10)*Assumptions!$B$5+SUMIFS('Hourly Usage'!H$4:H$63,'Hourly Usage'!$A$4:$A$63,"Year 2",'Hourly Usage'!$B$4:$B$63,$A10,'Hourly Usage'!$C$4:$C$63,$B10)*Assumptions!$B$6+SUMIFS('Hourly Usage'!H$4:H$63,'Hourly Usage'!$A$4:$A$63,"Year 3",'Hourly Usage'!$B$4:$B$63,$A10,'Hourly Usage'!$C$4:$C$63,$B10)*Assumptions!$B$7)/SUM(Assumptions!$B$5:$B$7)*(1+Assumptions!$B$4))</f>
        <v>0.699999999999999</v>
      </c>
      <c r="I10" s="37" t="n">
        <f aca="false">MIN(1,(SUMIFS('Hourly Usage'!I$4:I$63,'Hourly Usage'!$A$4:$A$63,"Year 1",'Hourly Usage'!$B$4:$B$63,$A10,'Hourly Usage'!$C$4:$C$63,$B10)*Assumptions!$B$5+SUMIFS('Hourly Usage'!I$4:I$63,'Hourly Usage'!$A$4:$A$63,"Year 2",'Hourly Usage'!$B$4:$B$63,$A10,'Hourly Usage'!$C$4:$C$63,$B10)*Assumptions!$B$6+SUMIFS('Hourly Usage'!I$4:I$63,'Hourly Usage'!$A$4:$A$63,"Year 3",'Hourly Usage'!$B$4:$B$63,$A10,'Hourly Usage'!$C$4:$C$63,$B10)*Assumptions!$B$7)/SUM(Assumptions!$B$5:$B$7)*(1+Assumptions!$B$4))</f>
        <v>0</v>
      </c>
      <c r="J10" s="37" t="n">
        <f aca="false">MIN(1,(SUMIFS('Hourly Usage'!J$4:J$63,'Hourly Usage'!$A$4:$A$63,"Year 1",'Hourly Usage'!$B$4:$B$63,$A10,'Hourly Usage'!$C$4:$C$63,$B10)*Assumptions!$B$5+SUMIFS('Hourly Usage'!J$4:J$63,'Hourly Usage'!$A$4:$A$63,"Year 2",'Hourly Usage'!$B$4:$B$63,$A10,'Hourly Usage'!$C$4:$C$63,$B10)*Assumptions!$B$6+SUMIFS('Hourly Usage'!J$4:J$63,'Hourly Usage'!$A$4:$A$63,"Year 3",'Hourly Usage'!$B$4:$B$63,$A10,'Hourly Usage'!$C$4:$C$63,$B10)*Assumptions!$B$7)/SUM(Assumptions!$B$5:$B$7)*(1+Assumptions!$B$4))</f>
        <v>0</v>
      </c>
      <c r="K10" s="37" t="n">
        <f aca="false">MIN(1,(SUMIFS('Hourly Usage'!K$4:K$63,'Hourly Usage'!$A$4:$A$63,"Year 1",'Hourly Usage'!$B$4:$B$63,$A10,'Hourly Usage'!$C$4:$C$63,$B10)*Assumptions!$B$5+SUMIFS('Hourly Usage'!K$4:K$63,'Hourly Usage'!$A$4:$A$63,"Year 2",'Hourly Usage'!$B$4:$B$63,$A10,'Hourly Usage'!$C$4:$C$63,$B10)*Assumptions!$B$6+SUMIFS('Hourly Usage'!K$4:K$63,'Hourly Usage'!$A$4:$A$63,"Year 3",'Hourly Usage'!$B$4:$B$63,$A10,'Hourly Usage'!$C$4:$C$63,$B10)*Assumptions!$B$7)/SUM(Assumptions!$B$5:$B$7)*(1+Assumptions!$B$4))</f>
        <v>0.749999999999997</v>
      </c>
      <c r="L10" s="37" t="n">
        <f aca="false">MIN(1,(SUMIFS('Hourly Usage'!L$4:L$63,'Hourly Usage'!$A$4:$A$63,"Year 1",'Hourly Usage'!$B$4:$B$63,$A10,'Hourly Usage'!$C$4:$C$63,$B10)*Assumptions!$B$5+SUMIFS('Hourly Usage'!L$4:L$63,'Hourly Usage'!$A$4:$A$63,"Year 2",'Hourly Usage'!$B$4:$B$63,$A10,'Hourly Usage'!$C$4:$C$63,$B10)*Assumptions!$B$6+SUMIFS('Hourly Usage'!L$4:L$63,'Hourly Usage'!$A$4:$A$63,"Year 3",'Hourly Usage'!$B$4:$B$63,$A10,'Hourly Usage'!$C$4:$C$63,$B10)*Assumptions!$B$7)/SUM(Assumptions!$B$5:$B$7)*(1+Assumptions!$B$4))</f>
        <v>1</v>
      </c>
      <c r="M10" s="21" t="n">
        <f aca="false">SUM(D10:L10)</f>
        <v>4.1</v>
      </c>
      <c r="N10" s="10" t="n">
        <f aca="false">9-M10</f>
        <v>4.9</v>
      </c>
    </row>
    <row r="11" customFormat="false" ht="15" hidden="false" customHeight="false" outlineLevel="0" collapsed="false">
      <c r="B11" s="3" t="s">
        <v>226</v>
      </c>
      <c r="C11" s="3" t="n">
        <f aca="false">SUM(C6:C10)</f>
        <v>10</v>
      </c>
      <c r="D11" s="41" t="n">
        <f aca="false">AVERAGE(D6:D10)</f>
        <v>0.03</v>
      </c>
      <c r="E11" s="41" t="n">
        <f aca="false">AVERAGE(E6:E10)</f>
        <v>0.4</v>
      </c>
      <c r="F11" s="41" t="n">
        <f aca="false">AVERAGE(F6:F10)</f>
        <v>0.469999999999999</v>
      </c>
      <c r="G11" s="41" t="n">
        <f aca="false">AVERAGE(G6:G10)</f>
        <v>0.285000000000001</v>
      </c>
      <c r="H11" s="41" t="n">
        <f aca="false">AVERAGE(H6:H10)</f>
        <v>0.809999999999999</v>
      </c>
      <c r="I11" s="41" t="n">
        <f aca="false">AVERAGE(I6:I10)</f>
        <v>0.501666666666669</v>
      </c>
      <c r="J11" s="41" t="n">
        <f aca="false">AVERAGE(J6:J10)</f>
        <v>0.2</v>
      </c>
      <c r="K11" s="41" t="n">
        <f aca="false">AVERAGE(K6:K10)</f>
        <v>0.689999999999997</v>
      </c>
      <c r="L11" s="41" t="n">
        <f aca="false">AVERAGE(L6:L10)</f>
        <v>0.610000000000001</v>
      </c>
      <c r="M11" s="38" t="n">
        <f aca="false">SUM(M6:M10)</f>
        <v>19.9833333333333</v>
      </c>
      <c r="N11" s="38" t="n">
        <f aca="false">SUM(N6:N10)</f>
        <v>25.0166666666667</v>
      </c>
    </row>
    <row r="13" customFormat="false" ht="15" hidden="false" customHeight="false" outlineLevel="0" collapsed="false">
      <c r="A13" s="36" t="s">
        <v>204</v>
      </c>
    </row>
    <row r="14" customFormat="false" ht="30" hidden="false" customHeight="true" outlineLevel="0" collapsed="false">
      <c r="A14" s="8" t="s">
        <v>31</v>
      </c>
      <c r="B14" s="8" t="s">
        <v>58</v>
      </c>
      <c r="C14" s="8" t="s">
        <v>224</v>
      </c>
      <c r="D14" s="8" t="s">
        <v>71</v>
      </c>
      <c r="E14" s="8" t="s">
        <v>74</v>
      </c>
      <c r="F14" s="8" t="s">
        <v>76</v>
      </c>
      <c r="G14" s="8" t="s">
        <v>78</v>
      </c>
      <c r="H14" s="8" t="s">
        <v>79</v>
      </c>
      <c r="I14" s="8" t="s">
        <v>81</v>
      </c>
      <c r="J14" s="8" t="s">
        <v>85</v>
      </c>
      <c r="K14" s="8" t="s">
        <v>88</v>
      </c>
      <c r="L14" s="8" t="s">
        <v>91</v>
      </c>
      <c r="M14" s="8" t="s">
        <v>225</v>
      </c>
      <c r="N14" s="8" t="s">
        <v>201</v>
      </c>
    </row>
    <row r="15" customFormat="false" ht="15" hidden="false" customHeight="false" outlineLevel="0" collapsed="false">
      <c r="A15" s="26" t="s">
        <v>43</v>
      </c>
      <c r="B15" s="26" t="s">
        <v>70</v>
      </c>
      <c r="C15" s="26" t="n">
        <f aca="false">COUNTIF(D15:L15,"&gt;="&amp;Assumptions!$B$10)</f>
        <v>2</v>
      </c>
      <c r="D15" s="37" t="n">
        <f aca="false">MIN(1,(SUMIFS('Hourly Usage'!D$4:D$63,'Hourly Usage'!$A$4:$A$63,"Year 1",'Hourly Usage'!$B$4:$B$63,$A15,'Hourly Usage'!$C$4:$C$63,$B15)*Assumptions!$B$5+SUMIFS('Hourly Usage'!D$4:D$63,'Hourly Usage'!$A$4:$A$63,"Year 2",'Hourly Usage'!$B$4:$B$63,$A15,'Hourly Usage'!$C$4:$C$63,$B15)*Assumptions!$B$6+SUMIFS('Hourly Usage'!D$4:D$63,'Hourly Usage'!$A$4:$A$63,"Year 3",'Hourly Usage'!$B$4:$B$63,$A15,'Hourly Usage'!$C$4:$C$63,$B15)*Assumptions!$B$7)/SUM(Assumptions!$B$5:$B$7)*(1+Assumptions!$B$4))</f>
        <v>0</v>
      </c>
      <c r="E15" s="37" t="n">
        <f aca="false">MIN(1,(SUMIFS('Hourly Usage'!E$4:E$63,'Hourly Usage'!$A$4:$A$63,"Year 1",'Hourly Usage'!$B$4:$B$63,$A15,'Hourly Usage'!$C$4:$C$63,$B15)*Assumptions!$B$5+SUMIFS('Hourly Usage'!E$4:E$63,'Hourly Usage'!$A$4:$A$63,"Year 2",'Hourly Usage'!$B$4:$B$63,$A15,'Hourly Usage'!$C$4:$C$63,$B15)*Assumptions!$B$6+SUMIFS('Hourly Usage'!E$4:E$63,'Hourly Usage'!$A$4:$A$63,"Year 3",'Hourly Usage'!$B$4:$B$63,$A15,'Hourly Usage'!$C$4:$C$63,$B15)*Assumptions!$B$7)/SUM(Assumptions!$B$5:$B$7)*(1+Assumptions!$B$4))</f>
        <v>0.5</v>
      </c>
      <c r="F15" s="37" t="n">
        <f aca="false">MIN(1,(SUMIFS('Hourly Usage'!F$4:F$63,'Hourly Usage'!$A$4:$A$63,"Year 1",'Hourly Usage'!$B$4:$B$63,$A15,'Hourly Usage'!$C$4:$C$63,$B15)*Assumptions!$B$5+SUMIFS('Hourly Usage'!F$4:F$63,'Hourly Usage'!$A$4:$A$63,"Year 2",'Hourly Usage'!$B$4:$B$63,$A15,'Hourly Usage'!$C$4:$C$63,$B15)*Assumptions!$B$6+SUMIFS('Hourly Usage'!F$4:F$63,'Hourly Usage'!$A$4:$A$63,"Year 3",'Hourly Usage'!$B$4:$B$63,$A15,'Hourly Usage'!$C$4:$C$63,$B15)*Assumptions!$B$7)/SUM(Assumptions!$B$5:$B$7)*(1+Assumptions!$B$4))</f>
        <v>0.249999999999999</v>
      </c>
      <c r="G15" s="37" t="n">
        <f aca="false">MIN(1,(SUMIFS('Hourly Usage'!G$4:G$63,'Hourly Usage'!$A$4:$A$63,"Year 1",'Hourly Usage'!$B$4:$B$63,$A15,'Hourly Usage'!$C$4:$C$63,$B15)*Assumptions!$B$5+SUMIFS('Hourly Usage'!G$4:G$63,'Hourly Usage'!$A$4:$A$63,"Year 2",'Hourly Usage'!$B$4:$B$63,$A15,'Hourly Usage'!$C$4:$C$63,$B15)*Assumptions!$B$6+SUMIFS('Hourly Usage'!G$4:G$63,'Hourly Usage'!$A$4:$A$63,"Year 3",'Hourly Usage'!$B$4:$B$63,$A15,'Hourly Usage'!$C$4:$C$63,$B15)*Assumptions!$B$7)/SUM(Assumptions!$B$5:$B$7)*(1+Assumptions!$B$4))</f>
        <v>0.125</v>
      </c>
      <c r="H15" s="37" t="n">
        <f aca="false">MIN(1,(SUMIFS('Hourly Usage'!H$4:H$63,'Hourly Usage'!$A$4:$A$63,"Year 1",'Hourly Usage'!$B$4:$B$63,$A15,'Hourly Usage'!$C$4:$C$63,$B15)*Assumptions!$B$5+SUMIFS('Hourly Usage'!H$4:H$63,'Hourly Usage'!$A$4:$A$63,"Year 2",'Hourly Usage'!$B$4:$B$63,$A15,'Hourly Usage'!$C$4:$C$63,$B15)*Assumptions!$B$6+SUMIFS('Hourly Usage'!H$4:H$63,'Hourly Usage'!$A$4:$A$63,"Year 3",'Hourly Usage'!$B$4:$B$63,$A15,'Hourly Usage'!$C$4:$C$63,$B15)*Assumptions!$B$7)/SUM(Assumptions!$B$5:$B$7)*(1+Assumptions!$B$4))</f>
        <v>0.799999999999998</v>
      </c>
      <c r="I15" s="37" t="n">
        <f aca="false">MIN(1,(SUMIFS('Hourly Usage'!I$4:I$63,'Hourly Usage'!$A$4:$A$63,"Year 1",'Hourly Usage'!$B$4:$B$63,$A15,'Hourly Usage'!$C$4:$C$63,$B15)*Assumptions!$B$5+SUMIFS('Hourly Usage'!I$4:I$63,'Hourly Usage'!$A$4:$A$63,"Year 2",'Hourly Usage'!$B$4:$B$63,$A15,'Hourly Usage'!$C$4:$C$63,$B15)*Assumptions!$B$6+SUMIFS('Hourly Usage'!I$4:I$63,'Hourly Usage'!$A$4:$A$63,"Year 3",'Hourly Usage'!$B$4:$B$63,$A15,'Hourly Usage'!$C$4:$C$63,$B15)*Assumptions!$B$7)/SUM(Assumptions!$B$5:$B$7)*(1+Assumptions!$B$4))</f>
        <v>0.5</v>
      </c>
      <c r="J15" s="37" t="n">
        <f aca="false">MIN(1,(SUMIFS('Hourly Usage'!J$4:J$63,'Hourly Usage'!$A$4:$A$63,"Year 1",'Hourly Usage'!$B$4:$B$63,$A15,'Hourly Usage'!$C$4:$C$63,$B15)*Assumptions!$B$5+SUMIFS('Hourly Usage'!J$4:J$63,'Hourly Usage'!$A$4:$A$63,"Year 2",'Hourly Usage'!$B$4:$B$63,$A15,'Hourly Usage'!$C$4:$C$63,$B15)*Assumptions!$B$6+SUMIFS('Hourly Usage'!J$4:J$63,'Hourly Usage'!$A$4:$A$63,"Year 3",'Hourly Usage'!$B$4:$B$63,$A15,'Hourly Usage'!$C$4:$C$63,$B15)*Assumptions!$B$7)/SUM(Assumptions!$B$5:$B$7)*(1+Assumptions!$B$4))</f>
        <v>0.416666666666665</v>
      </c>
      <c r="K15" s="37" t="n">
        <f aca="false">MIN(1,(SUMIFS('Hourly Usage'!K$4:K$63,'Hourly Usage'!$A$4:$A$63,"Year 1",'Hourly Usage'!$B$4:$B$63,$A15,'Hourly Usage'!$C$4:$C$63,$B15)*Assumptions!$B$5+SUMIFS('Hourly Usage'!K$4:K$63,'Hourly Usage'!$A$4:$A$63,"Year 2",'Hourly Usage'!$B$4:$B$63,$A15,'Hourly Usage'!$C$4:$C$63,$B15)*Assumptions!$B$6+SUMIFS('Hourly Usage'!K$4:K$63,'Hourly Usage'!$A$4:$A$63,"Year 3",'Hourly Usage'!$B$4:$B$63,$A15,'Hourly Usage'!$C$4:$C$63,$B15)*Assumptions!$B$7)/SUM(Assumptions!$B$5:$B$7)*(1+Assumptions!$B$4))</f>
        <v>0.499999999999996</v>
      </c>
      <c r="L15" s="37" t="n">
        <f aca="false">MIN(1,(SUMIFS('Hourly Usage'!L$4:L$63,'Hourly Usage'!$A$4:$A$63,"Year 1",'Hourly Usage'!$B$4:$B$63,$A15,'Hourly Usage'!$C$4:$C$63,$B15)*Assumptions!$B$5+SUMIFS('Hourly Usage'!L$4:L$63,'Hourly Usage'!$A$4:$A$63,"Year 2",'Hourly Usage'!$B$4:$B$63,$A15,'Hourly Usage'!$C$4:$C$63,$B15)*Assumptions!$B$6+SUMIFS('Hourly Usage'!L$4:L$63,'Hourly Usage'!$A$4:$A$63,"Year 3",'Hourly Usage'!$B$4:$B$63,$A15,'Hourly Usage'!$C$4:$C$63,$B15)*Assumptions!$B$7)/SUM(Assumptions!$B$5:$B$7)*(1+Assumptions!$B$4))</f>
        <v>1</v>
      </c>
      <c r="M15" s="21" t="n">
        <f aca="false">SUM(D15:L15)</f>
        <v>4.09166666666666</v>
      </c>
      <c r="N15" s="10" t="n">
        <f aca="false">9-M15</f>
        <v>4.90833333333334</v>
      </c>
    </row>
    <row r="16" customFormat="false" ht="15" hidden="false" customHeight="false" outlineLevel="0" collapsed="false">
      <c r="A16" s="26" t="s">
        <v>43</v>
      </c>
      <c r="B16" s="26" t="s">
        <v>94</v>
      </c>
      <c r="C16" s="26" t="n">
        <f aca="false">COUNTIF(D16:L16,"&gt;="&amp;Assumptions!$B$10)</f>
        <v>4</v>
      </c>
      <c r="D16" s="37" t="n">
        <f aca="false">MIN(1,(SUMIFS('Hourly Usage'!D$4:D$63,'Hourly Usage'!$A$4:$A$63,"Year 1",'Hourly Usage'!$B$4:$B$63,$A16,'Hourly Usage'!$C$4:$C$63,$B16)*Assumptions!$B$5+SUMIFS('Hourly Usage'!D$4:D$63,'Hourly Usage'!$A$4:$A$63,"Year 2",'Hourly Usage'!$B$4:$B$63,$A16,'Hourly Usage'!$C$4:$C$63,$B16)*Assumptions!$B$6+SUMIFS('Hourly Usage'!D$4:D$63,'Hourly Usage'!$A$4:$A$63,"Year 3",'Hourly Usage'!$B$4:$B$63,$A16,'Hourly Usage'!$C$4:$C$63,$B16)*Assumptions!$B$7)/SUM(Assumptions!$B$5:$B$7)*(1+Assumptions!$B$4))</f>
        <v>0</v>
      </c>
      <c r="E16" s="37" t="n">
        <f aca="false">MIN(1,(SUMIFS('Hourly Usage'!E$4:E$63,'Hourly Usage'!$A$4:$A$63,"Year 1",'Hourly Usage'!$B$4:$B$63,$A16,'Hourly Usage'!$C$4:$C$63,$B16)*Assumptions!$B$5+SUMIFS('Hourly Usage'!E$4:E$63,'Hourly Usage'!$A$4:$A$63,"Year 2",'Hourly Usage'!$B$4:$B$63,$A16,'Hourly Usage'!$C$4:$C$63,$B16)*Assumptions!$B$6+SUMIFS('Hourly Usage'!E$4:E$63,'Hourly Usage'!$A$4:$A$63,"Year 3",'Hourly Usage'!$B$4:$B$63,$A16,'Hourly Usage'!$C$4:$C$63,$B16)*Assumptions!$B$7)/SUM(Assumptions!$B$5:$B$7)*(1+Assumptions!$B$4))</f>
        <v>0</v>
      </c>
      <c r="F16" s="37" t="n">
        <f aca="false">MIN(1,(SUMIFS('Hourly Usage'!F$4:F$63,'Hourly Usage'!$A$4:$A$63,"Year 1",'Hourly Usage'!$B$4:$B$63,$A16,'Hourly Usage'!$C$4:$C$63,$B16)*Assumptions!$B$5+SUMIFS('Hourly Usage'!F$4:F$63,'Hourly Usage'!$A$4:$A$63,"Year 2",'Hourly Usage'!$B$4:$B$63,$A16,'Hourly Usage'!$C$4:$C$63,$B16)*Assumptions!$B$6+SUMIFS('Hourly Usage'!F$4:F$63,'Hourly Usage'!$A$4:$A$63,"Year 3",'Hourly Usage'!$B$4:$B$63,$A16,'Hourly Usage'!$C$4:$C$63,$B16)*Assumptions!$B$7)/SUM(Assumptions!$B$5:$B$7)*(1+Assumptions!$B$4))</f>
        <v>0</v>
      </c>
      <c r="G16" s="37" t="n">
        <f aca="false">MIN(1,(SUMIFS('Hourly Usage'!G$4:G$63,'Hourly Usage'!$A$4:$A$63,"Year 1",'Hourly Usage'!$B$4:$B$63,$A16,'Hourly Usage'!$C$4:$C$63,$B16)*Assumptions!$B$5+SUMIFS('Hourly Usage'!G$4:G$63,'Hourly Usage'!$A$4:$A$63,"Year 2",'Hourly Usage'!$B$4:$B$63,$A16,'Hourly Usage'!$C$4:$C$63,$B16)*Assumptions!$B$6+SUMIFS('Hourly Usage'!G$4:G$63,'Hourly Usage'!$A$4:$A$63,"Year 3",'Hourly Usage'!$B$4:$B$63,$A16,'Hourly Usage'!$C$4:$C$63,$B16)*Assumptions!$B$7)/SUM(Assumptions!$B$5:$B$7)*(1+Assumptions!$B$4))</f>
        <v>0.549999999999999</v>
      </c>
      <c r="H16" s="37" t="n">
        <f aca="false">MIN(1,(SUMIFS('Hourly Usage'!H$4:H$63,'Hourly Usage'!$A$4:$A$63,"Year 1",'Hourly Usage'!$B$4:$B$63,$A16,'Hourly Usage'!$C$4:$C$63,$B16)*Assumptions!$B$5+SUMIFS('Hourly Usage'!H$4:H$63,'Hourly Usage'!$A$4:$A$63,"Year 2",'Hourly Usage'!$B$4:$B$63,$A16,'Hourly Usage'!$C$4:$C$63,$B16)*Assumptions!$B$6+SUMIFS('Hourly Usage'!H$4:H$63,'Hourly Usage'!$A$4:$A$63,"Year 3",'Hourly Usage'!$B$4:$B$63,$A16,'Hourly Usage'!$C$4:$C$63,$B16)*Assumptions!$B$7)/SUM(Assumptions!$B$5:$B$7)*(1+Assumptions!$B$4))</f>
        <v>0.999999999999999</v>
      </c>
      <c r="I16" s="37" t="n">
        <f aca="false">MIN(1,(SUMIFS('Hourly Usage'!I$4:I$63,'Hourly Usage'!$A$4:$A$63,"Year 1",'Hourly Usage'!$B$4:$B$63,$A16,'Hourly Usage'!$C$4:$C$63,$B16)*Assumptions!$B$5+SUMIFS('Hourly Usage'!I$4:I$63,'Hourly Usage'!$A$4:$A$63,"Year 2",'Hourly Usage'!$B$4:$B$63,$A16,'Hourly Usage'!$C$4:$C$63,$B16)*Assumptions!$B$6+SUMIFS('Hourly Usage'!I$4:I$63,'Hourly Usage'!$A$4:$A$63,"Year 3",'Hourly Usage'!$B$4:$B$63,$A16,'Hourly Usage'!$C$4:$C$63,$B16)*Assumptions!$B$7)/SUM(Assumptions!$B$5:$B$7)*(1+Assumptions!$B$4))</f>
        <v>1</v>
      </c>
      <c r="J16" s="37" t="n">
        <f aca="false">MIN(1,(SUMIFS('Hourly Usage'!J$4:J$63,'Hourly Usage'!$A$4:$A$63,"Year 1",'Hourly Usage'!$B$4:$B$63,$A16,'Hourly Usage'!$C$4:$C$63,$B16)*Assumptions!$B$5+SUMIFS('Hourly Usage'!J$4:J$63,'Hourly Usage'!$A$4:$A$63,"Year 2",'Hourly Usage'!$B$4:$B$63,$A16,'Hourly Usage'!$C$4:$C$63,$B16)*Assumptions!$B$6+SUMIFS('Hourly Usage'!J$4:J$63,'Hourly Usage'!$A$4:$A$63,"Year 3",'Hourly Usage'!$B$4:$B$63,$A16,'Hourly Usage'!$C$4:$C$63,$B16)*Assumptions!$B$7)/SUM(Assumptions!$B$5:$B$7)*(1+Assumptions!$B$4))</f>
        <v>0.799999999999999</v>
      </c>
      <c r="K16" s="37" t="n">
        <f aca="false">MIN(1,(SUMIFS('Hourly Usage'!K$4:K$63,'Hourly Usage'!$A$4:$A$63,"Year 1",'Hourly Usage'!$B$4:$B$63,$A16,'Hourly Usage'!$C$4:$C$63,$B16)*Assumptions!$B$5+SUMIFS('Hourly Usage'!K$4:K$63,'Hourly Usage'!$A$4:$A$63,"Year 2",'Hourly Usage'!$B$4:$B$63,$A16,'Hourly Usage'!$C$4:$C$63,$B16)*Assumptions!$B$6+SUMIFS('Hourly Usage'!K$4:K$63,'Hourly Usage'!$A$4:$A$63,"Year 3",'Hourly Usage'!$B$4:$B$63,$A16,'Hourly Usage'!$C$4:$C$63,$B16)*Assumptions!$B$7)/SUM(Assumptions!$B$5:$B$7)*(1+Assumptions!$B$4))</f>
        <v>0.749999999999999</v>
      </c>
      <c r="L16" s="37" t="n">
        <f aca="false">MIN(1,(SUMIFS('Hourly Usage'!L$4:L$63,'Hourly Usage'!$A$4:$A$63,"Year 1",'Hourly Usage'!$B$4:$B$63,$A16,'Hourly Usage'!$C$4:$C$63,$B16)*Assumptions!$B$5+SUMIFS('Hourly Usage'!L$4:L$63,'Hourly Usage'!$A$4:$A$63,"Year 2",'Hourly Usage'!$B$4:$B$63,$A16,'Hourly Usage'!$C$4:$C$63,$B16)*Assumptions!$B$6+SUMIFS('Hourly Usage'!L$4:L$63,'Hourly Usage'!$A$4:$A$63,"Year 3",'Hourly Usage'!$B$4:$B$63,$A16,'Hourly Usage'!$C$4:$C$63,$B16)*Assumptions!$B$7)/SUM(Assumptions!$B$5:$B$7)*(1+Assumptions!$B$4))</f>
        <v>0.400000000000001</v>
      </c>
      <c r="M16" s="21" t="n">
        <f aca="false">SUM(D16:L16)</f>
        <v>4.5</v>
      </c>
      <c r="N16" s="10" t="n">
        <f aca="false">9-M16</f>
        <v>4.5</v>
      </c>
    </row>
    <row r="17" customFormat="false" ht="15" hidden="false" customHeight="false" outlineLevel="0" collapsed="false">
      <c r="A17" s="26" t="s">
        <v>43</v>
      </c>
      <c r="B17" s="26" t="s">
        <v>105</v>
      </c>
      <c r="C17" s="26" t="n">
        <f aca="false">COUNTIF(D17:L17,"&gt;="&amp;Assumptions!$B$10)</f>
        <v>1</v>
      </c>
      <c r="D17" s="37" t="n">
        <f aca="false">MIN(1,(SUMIFS('Hourly Usage'!D$4:D$63,'Hourly Usage'!$A$4:$A$63,"Year 1",'Hourly Usage'!$B$4:$B$63,$A17,'Hourly Usage'!$C$4:$C$63,$B17)*Assumptions!$B$5+SUMIFS('Hourly Usage'!D$4:D$63,'Hourly Usage'!$A$4:$A$63,"Year 2",'Hourly Usage'!$B$4:$B$63,$A17,'Hourly Usage'!$C$4:$C$63,$B17)*Assumptions!$B$6+SUMIFS('Hourly Usage'!D$4:D$63,'Hourly Usage'!$A$4:$A$63,"Year 3",'Hourly Usage'!$B$4:$B$63,$A17,'Hourly Usage'!$C$4:$C$63,$B17)*Assumptions!$B$7)/SUM(Assumptions!$B$5:$B$7)*(1+Assumptions!$B$4))</f>
        <v>0</v>
      </c>
      <c r="E17" s="37" t="n">
        <f aca="false">MIN(1,(SUMIFS('Hourly Usage'!E$4:E$63,'Hourly Usage'!$A$4:$A$63,"Year 1",'Hourly Usage'!$B$4:$B$63,$A17,'Hourly Usage'!$C$4:$C$63,$B17)*Assumptions!$B$5+SUMIFS('Hourly Usage'!E$4:E$63,'Hourly Usage'!$A$4:$A$63,"Year 2",'Hourly Usage'!$B$4:$B$63,$A17,'Hourly Usage'!$C$4:$C$63,$B17)*Assumptions!$B$6+SUMIFS('Hourly Usage'!E$4:E$63,'Hourly Usage'!$A$4:$A$63,"Year 3",'Hourly Usage'!$B$4:$B$63,$A17,'Hourly Usage'!$C$4:$C$63,$B17)*Assumptions!$B$7)/SUM(Assumptions!$B$5:$B$7)*(1+Assumptions!$B$4))</f>
        <v>0.150000000000001</v>
      </c>
      <c r="F17" s="37" t="n">
        <f aca="false">MIN(1,(SUMIFS('Hourly Usage'!F$4:F$63,'Hourly Usage'!$A$4:$A$63,"Year 1",'Hourly Usage'!$B$4:$B$63,$A17,'Hourly Usage'!$C$4:$C$63,$B17)*Assumptions!$B$5+SUMIFS('Hourly Usage'!F$4:F$63,'Hourly Usage'!$A$4:$A$63,"Year 2",'Hourly Usage'!$B$4:$B$63,$A17,'Hourly Usage'!$C$4:$C$63,$B17)*Assumptions!$B$6+SUMIFS('Hourly Usage'!F$4:F$63,'Hourly Usage'!$A$4:$A$63,"Year 3",'Hourly Usage'!$B$4:$B$63,$A17,'Hourly Usage'!$C$4:$C$63,$B17)*Assumptions!$B$7)/SUM(Assumptions!$B$5:$B$7)*(1+Assumptions!$B$4))</f>
        <v>0.3</v>
      </c>
      <c r="G17" s="37" t="n">
        <f aca="false">MIN(1,(SUMIFS('Hourly Usage'!G$4:G$63,'Hourly Usage'!$A$4:$A$63,"Year 1",'Hourly Usage'!$B$4:$B$63,$A17,'Hourly Usage'!$C$4:$C$63,$B17)*Assumptions!$B$5+SUMIFS('Hourly Usage'!G$4:G$63,'Hourly Usage'!$A$4:$A$63,"Year 2",'Hourly Usage'!$B$4:$B$63,$A17,'Hourly Usage'!$C$4:$C$63,$B17)*Assumptions!$B$6+SUMIFS('Hourly Usage'!G$4:G$63,'Hourly Usage'!$A$4:$A$63,"Year 3",'Hourly Usage'!$B$4:$B$63,$A17,'Hourly Usage'!$C$4:$C$63,$B17)*Assumptions!$B$7)/SUM(Assumptions!$B$5:$B$7)*(1+Assumptions!$B$4))</f>
        <v>0.2</v>
      </c>
      <c r="H17" s="37" t="n">
        <f aca="false">MIN(1,(SUMIFS('Hourly Usage'!H$4:H$63,'Hourly Usage'!$A$4:$A$63,"Year 1",'Hourly Usage'!$B$4:$B$63,$A17,'Hourly Usage'!$C$4:$C$63,$B17)*Assumptions!$B$5+SUMIFS('Hourly Usage'!H$4:H$63,'Hourly Usage'!$A$4:$A$63,"Year 2",'Hourly Usage'!$B$4:$B$63,$A17,'Hourly Usage'!$C$4:$C$63,$B17)*Assumptions!$B$6+SUMIFS('Hourly Usage'!H$4:H$63,'Hourly Usage'!$A$4:$A$63,"Year 3",'Hourly Usage'!$B$4:$B$63,$A17,'Hourly Usage'!$C$4:$C$63,$B17)*Assumptions!$B$7)/SUM(Assumptions!$B$5:$B$7)*(1+Assumptions!$B$4))</f>
        <v>0.799999999999998</v>
      </c>
      <c r="I17" s="37" t="n">
        <f aca="false">MIN(1,(SUMIFS('Hourly Usage'!I$4:I$63,'Hourly Usage'!$A$4:$A$63,"Year 1",'Hourly Usage'!$B$4:$B$63,$A17,'Hourly Usage'!$C$4:$C$63,$B17)*Assumptions!$B$5+SUMIFS('Hourly Usage'!I$4:I$63,'Hourly Usage'!$A$4:$A$63,"Year 2",'Hourly Usage'!$B$4:$B$63,$A17,'Hourly Usage'!$C$4:$C$63,$B17)*Assumptions!$B$6+SUMIFS('Hourly Usage'!I$4:I$63,'Hourly Usage'!$A$4:$A$63,"Year 3",'Hourly Usage'!$B$4:$B$63,$A17,'Hourly Usage'!$C$4:$C$63,$B17)*Assumptions!$B$7)/SUM(Assumptions!$B$5:$B$7)*(1+Assumptions!$B$4))</f>
        <v>0.575000000000002</v>
      </c>
      <c r="J17" s="37" t="n">
        <f aca="false">MIN(1,(SUMIFS('Hourly Usage'!J$4:J$63,'Hourly Usage'!$A$4:$A$63,"Year 1",'Hourly Usage'!$B$4:$B$63,$A17,'Hourly Usage'!$C$4:$C$63,$B17)*Assumptions!$B$5+SUMIFS('Hourly Usage'!J$4:J$63,'Hourly Usage'!$A$4:$A$63,"Year 2",'Hourly Usage'!$B$4:$B$63,$A17,'Hourly Usage'!$C$4:$C$63,$B17)*Assumptions!$B$6+SUMIFS('Hourly Usage'!J$4:J$63,'Hourly Usage'!$A$4:$A$63,"Year 3",'Hourly Usage'!$B$4:$B$63,$A17,'Hourly Usage'!$C$4:$C$63,$B17)*Assumptions!$B$7)/SUM(Assumptions!$B$5:$B$7)*(1+Assumptions!$B$4))</f>
        <v>0.416666666666665</v>
      </c>
      <c r="K17" s="37" t="n">
        <f aca="false">MIN(1,(SUMIFS('Hourly Usage'!K$4:K$63,'Hourly Usage'!$A$4:$A$63,"Year 1",'Hourly Usage'!$B$4:$B$63,$A17,'Hourly Usage'!$C$4:$C$63,$B17)*Assumptions!$B$5+SUMIFS('Hourly Usage'!K$4:K$63,'Hourly Usage'!$A$4:$A$63,"Year 2",'Hourly Usage'!$B$4:$B$63,$A17,'Hourly Usage'!$C$4:$C$63,$B17)*Assumptions!$B$6+SUMIFS('Hourly Usage'!K$4:K$63,'Hourly Usage'!$A$4:$A$63,"Year 3",'Hourly Usage'!$B$4:$B$63,$A17,'Hourly Usage'!$C$4:$C$63,$B17)*Assumptions!$B$7)/SUM(Assumptions!$B$5:$B$7)*(1+Assumptions!$B$4))</f>
        <v>0.249999999999998</v>
      </c>
      <c r="L17" s="37" t="n">
        <f aca="false">MIN(1,(SUMIFS('Hourly Usage'!L$4:L$63,'Hourly Usage'!$A$4:$A$63,"Year 1",'Hourly Usage'!$B$4:$B$63,$A17,'Hourly Usage'!$C$4:$C$63,$B17)*Assumptions!$B$5+SUMIFS('Hourly Usage'!L$4:L$63,'Hourly Usage'!$A$4:$A$63,"Year 2",'Hourly Usage'!$B$4:$B$63,$A17,'Hourly Usage'!$C$4:$C$63,$B17)*Assumptions!$B$6+SUMIFS('Hourly Usage'!L$4:L$63,'Hourly Usage'!$A$4:$A$63,"Year 3",'Hourly Usage'!$B$4:$B$63,$A17,'Hourly Usage'!$C$4:$C$63,$B17)*Assumptions!$B$7)/SUM(Assumptions!$B$5:$B$7)*(1+Assumptions!$B$4))</f>
        <v>0.5</v>
      </c>
      <c r="M17" s="21" t="n">
        <f aca="false">SUM(D17:L17)</f>
        <v>3.19166666666666</v>
      </c>
      <c r="N17" s="10" t="n">
        <f aca="false">9-M17</f>
        <v>5.80833333333334</v>
      </c>
    </row>
    <row r="18" customFormat="false" ht="15" hidden="false" customHeight="false" outlineLevel="0" collapsed="false">
      <c r="A18" s="26" t="s">
        <v>43</v>
      </c>
      <c r="B18" s="26" t="s">
        <v>117</v>
      </c>
      <c r="C18" s="26" t="n">
        <f aca="false">COUNTIF(D18:L18,"&gt;="&amp;Assumptions!$B$10)</f>
        <v>2</v>
      </c>
      <c r="D18" s="37" t="n">
        <f aca="false">MIN(1,(SUMIFS('Hourly Usage'!D$4:D$63,'Hourly Usage'!$A$4:$A$63,"Year 1",'Hourly Usage'!$B$4:$B$63,$A18,'Hourly Usage'!$C$4:$C$63,$B18)*Assumptions!$B$5+SUMIFS('Hourly Usage'!D$4:D$63,'Hourly Usage'!$A$4:$A$63,"Year 2",'Hourly Usage'!$B$4:$B$63,$A18,'Hourly Usage'!$C$4:$C$63,$B18)*Assumptions!$B$6+SUMIFS('Hourly Usage'!D$4:D$63,'Hourly Usage'!$A$4:$A$63,"Year 3",'Hourly Usage'!$B$4:$B$63,$A18,'Hourly Usage'!$C$4:$C$63,$B18)*Assumptions!$B$7)/SUM(Assumptions!$B$5:$B$7)*(1+Assumptions!$B$4))</f>
        <v>0</v>
      </c>
      <c r="E18" s="37" t="n">
        <f aca="false">MIN(1,(SUMIFS('Hourly Usage'!E$4:E$63,'Hourly Usage'!$A$4:$A$63,"Year 1",'Hourly Usage'!$B$4:$B$63,$A18,'Hourly Usage'!$C$4:$C$63,$B18)*Assumptions!$B$5+SUMIFS('Hourly Usage'!E$4:E$63,'Hourly Usage'!$A$4:$A$63,"Year 2",'Hourly Usage'!$B$4:$B$63,$A18,'Hourly Usage'!$C$4:$C$63,$B18)*Assumptions!$B$6+SUMIFS('Hourly Usage'!E$4:E$63,'Hourly Usage'!$A$4:$A$63,"Year 3",'Hourly Usage'!$B$4:$B$63,$A18,'Hourly Usage'!$C$4:$C$63,$B18)*Assumptions!$B$7)/SUM(Assumptions!$B$5:$B$7)*(1+Assumptions!$B$4))</f>
        <v>0.100000000000001</v>
      </c>
      <c r="F18" s="37" t="n">
        <f aca="false">MIN(1,(SUMIFS('Hourly Usage'!F$4:F$63,'Hourly Usage'!$A$4:$A$63,"Year 1",'Hourly Usage'!$B$4:$B$63,$A18,'Hourly Usage'!$C$4:$C$63,$B18)*Assumptions!$B$5+SUMIFS('Hourly Usage'!F$4:F$63,'Hourly Usage'!$A$4:$A$63,"Year 2",'Hourly Usage'!$B$4:$B$63,$A18,'Hourly Usage'!$C$4:$C$63,$B18)*Assumptions!$B$6+SUMIFS('Hourly Usage'!F$4:F$63,'Hourly Usage'!$A$4:$A$63,"Year 3",'Hourly Usage'!$B$4:$B$63,$A18,'Hourly Usage'!$C$4:$C$63,$B18)*Assumptions!$B$7)/SUM(Assumptions!$B$5:$B$7)*(1+Assumptions!$B$4))</f>
        <v>0.2</v>
      </c>
      <c r="G18" s="37" t="n">
        <f aca="false">MIN(1,(SUMIFS('Hourly Usage'!G$4:G$63,'Hourly Usage'!$A$4:$A$63,"Year 1",'Hourly Usage'!$B$4:$B$63,$A18,'Hourly Usage'!$C$4:$C$63,$B18)*Assumptions!$B$5+SUMIFS('Hourly Usage'!G$4:G$63,'Hourly Usage'!$A$4:$A$63,"Year 2",'Hourly Usage'!$B$4:$B$63,$A18,'Hourly Usage'!$C$4:$C$63,$B18)*Assumptions!$B$6+SUMIFS('Hourly Usage'!G$4:G$63,'Hourly Usage'!$A$4:$A$63,"Year 3",'Hourly Usage'!$B$4:$B$63,$A18,'Hourly Usage'!$C$4:$C$63,$B18)*Assumptions!$B$7)/SUM(Assumptions!$B$5:$B$7)*(1+Assumptions!$B$4))</f>
        <v>0.100000000000001</v>
      </c>
      <c r="H18" s="37" t="n">
        <f aca="false">MIN(1,(SUMIFS('Hourly Usage'!H$4:H$63,'Hourly Usage'!$A$4:$A$63,"Year 1",'Hourly Usage'!$B$4:$B$63,$A18,'Hourly Usage'!$C$4:$C$63,$B18)*Assumptions!$B$5+SUMIFS('Hourly Usage'!H$4:H$63,'Hourly Usage'!$A$4:$A$63,"Year 2",'Hourly Usage'!$B$4:$B$63,$A18,'Hourly Usage'!$C$4:$C$63,$B18)*Assumptions!$B$6+SUMIFS('Hourly Usage'!H$4:H$63,'Hourly Usage'!$A$4:$A$63,"Year 3",'Hourly Usage'!$B$4:$B$63,$A18,'Hourly Usage'!$C$4:$C$63,$B18)*Assumptions!$B$7)/SUM(Assumptions!$B$5:$B$7)*(1+Assumptions!$B$4))</f>
        <v>0.999999999999998</v>
      </c>
      <c r="I18" s="37" t="n">
        <f aca="false">MIN(1,(SUMIFS('Hourly Usage'!I$4:I$63,'Hourly Usage'!$A$4:$A$63,"Year 1",'Hourly Usage'!$B$4:$B$63,$A18,'Hourly Usage'!$C$4:$C$63,$B18)*Assumptions!$B$5+SUMIFS('Hourly Usage'!I$4:I$63,'Hourly Usage'!$A$4:$A$63,"Year 2",'Hourly Usage'!$B$4:$B$63,$A18,'Hourly Usage'!$C$4:$C$63,$B18)*Assumptions!$B$6+SUMIFS('Hourly Usage'!I$4:I$63,'Hourly Usage'!$A$4:$A$63,"Year 3",'Hourly Usage'!$B$4:$B$63,$A18,'Hourly Usage'!$C$4:$C$63,$B18)*Assumptions!$B$7)/SUM(Assumptions!$B$5:$B$7)*(1+Assumptions!$B$4))</f>
        <v>0.583333333333337</v>
      </c>
      <c r="J18" s="37" t="n">
        <f aca="false">MIN(1,(SUMIFS('Hourly Usage'!J$4:J$63,'Hourly Usage'!$A$4:$A$63,"Year 1",'Hourly Usage'!$B$4:$B$63,$A18,'Hourly Usage'!$C$4:$C$63,$B18)*Assumptions!$B$5+SUMIFS('Hourly Usage'!J$4:J$63,'Hourly Usage'!$A$4:$A$63,"Year 2",'Hourly Usage'!$B$4:$B$63,$A18,'Hourly Usage'!$C$4:$C$63,$B18)*Assumptions!$B$6+SUMIFS('Hourly Usage'!J$4:J$63,'Hourly Usage'!$A$4:$A$63,"Year 3",'Hourly Usage'!$B$4:$B$63,$A18,'Hourly Usage'!$C$4:$C$63,$B18)*Assumptions!$B$7)/SUM(Assumptions!$B$5:$B$7)*(1+Assumptions!$B$4))</f>
        <v>0</v>
      </c>
      <c r="K18" s="37" t="n">
        <f aca="false">MIN(1,(SUMIFS('Hourly Usage'!K$4:K$63,'Hourly Usage'!$A$4:$A$63,"Year 1",'Hourly Usage'!$B$4:$B$63,$A18,'Hourly Usage'!$C$4:$C$63,$B18)*Assumptions!$B$5+SUMIFS('Hourly Usage'!K$4:K$63,'Hourly Usage'!$A$4:$A$63,"Year 2",'Hourly Usage'!$B$4:$B$63,$A18,'Hourly Usage'!$C$4:$C$63,$B18)*Assumptions!$B$6+SUMIFS('Hourly Usage'!K$4:K$63,'Hourly Usage'!$A$4:$A$63,"Year 3",'Hourly Usage'!$B$4:$B$63,$A18,'Hourly Usage'!$C$4:$C$63,$B18)*Assumptions!$B$7)/SUM(Assumptions!$B$5:$B$7)*(1+Assumptions!$B$4))</f>
        <v>0.999999999999999</v>
      </c>
      <c r="L18" s="37" t="n">
        <f aca="false">MIN(1,(SUMIFS('Hourly Usage'!L$4:L$63,'Hourly Usage'!$A$4:$A$63,"Year 1",'Hourly Usage'!$B$4:$B$63,$A18,'Hourly Usage'!$C$4:$C$63,$B18)*Assumptions!$B$5+SUMIFS('Hourly Usage'!L$4:L$63,'Hourly Usage'!$A$4:$A$63,"Year 2",'Hourly Usage'!$B$4:$B$63,$A18,'Hourly Usage'!$C$4:$C$63,$B18)*Assumptions!$B$6+SUMIFS('Hourly Usage'!L$4:L$63,'Hourly Usage'!$A$4:$A$63,"Year 3",'Hourly Usage'!$B$4:$B$63,$A18,'Hourly Usage'!$C$4:$C$63,$B18)*Assumptions!$B$7)/SUM(Assumptions!$B$5:$B$7)*(1+Assumptions!$B$4))</f>
        <v>0.100000000000001</v>
      </c>
      <c r="M18" s="21" t="n">
        <f aca="false">SUM(D18:L18)</f>
        <v>3.08333333333334</v>
      </c>
      <c r="N18" s="10" t="n">
        <f aca="false">9-M18</f>
        <v>5.91666666666666</v>
      </c>
    </row>
    <row r="19" customFormat="false" ht="15" hidden="false" customHeight="false" outlineLevel="0" collapsed="false">
      <c r="A19" s="26" t="s">
        <v>43</v>
      </c>
      <c r="B19" s="26" t="s">
        <v>118</v>
      </c>
      <c r="C19" s="26" t="n">
        <f aca="false">COUNTIF(D19:L19,"&gt;="&amp;Assumptions!$B$10)</f>
        <v>1</v>
      </c>
      <c r="D19" s="37" t="n">
        <f aca="false">MIN(1,(SUMIFS('Hourly Usage'!D$4:D$63,'Hourly Usage'!$A$4:$A$63,"Year 1",'Hourly Usage'!$B$4:$B$63,$A19,'Hourly Usage'!$C$4:$C$63,$B19)*Assumptions!$B$5+SUMIFS('Hourly Usage'!D$4:D$63,'Hourly Usage'!$A$4:$A$63,"Year 2",'Hourly Usage'!$B$4:$B$63,$A19,'Hourly Usage'!$C$4:$C$63,$B19)*Assumptions!$B$6+SUMIFS('Hourly Usage'!D$4:D$63,'Hourly Usage'!$A$4:$A$63,"Year 3",'Hourly Usage'!$B$4:$B$63,$A19,'Hourly Usage'!$C$4:$C$63,$B19)*Assumptions!$B$7)/SUM(Assumptions!$B$5:$B$7)*(1+Assumptions!$B$4))</f>
        <v>0</v>
      </c>
      <c r="E19" s="37" t="n">
        <f aca="false">MIN(1,(SUMIFS('Hourly Usage'!E$4:E$63,'Hourly Usage'!$A$4:$A$63,"Year 1",'Hourly Usage'!$B$4:$B$63,$A19,'Hourly Usage'!$C$4:$C$63,$B19)*Assumptions!$B$5+SUMIFS('Hourly Usage'!E$4:E$63,'Hourly Usage'!$A$4:$A$63,"Year 2",'Hourly Usage'!$B$4:$B$63,$A19,'Hourly Usage'!$C$4:$C$63,$B19)*Assumptions!$B$6+SUMIFS('Hourly Usage'!E$4:E$63,'Hourly Usage'!$A$4:$A$63,"Year 3",'Hourly Usage'!$B$4:$B$63,$A19,'Hourly Usage'!$C$4:$C$63,$B19)*Assumptions!$B$7)/SUM(Assumptions!$B$5:$B$7)*(1+Assumptions!$B$4))</f>
        <v>0.5</v>
      </c>
      <c r="F19" s="37" t="n">
        <f aca="false">MIN(1,(SUMIFS('Hourly Usage'!F$4:F$63,'Hourly Usage'!$A$4:$A$63,"Year 1",'Hourly Usage'!$B$4:$B$63,$A19,'Hourly Usage'!$C$4:$C$63,$B19)*Assumptions!$B$5+SUMIFS('Hourly Usage'!F$4:F$63,'Hourly Usage'!$A$4:$A$63,"Year 2",'Hourly Usage'!$B$4:$B$63,$A19,'Hourly Usage'!$C$4:$C$63,$B19)*Assumptions!$B$6+SUMIFS('Hourly Usage'!F$4:F$63,'Hourly Usage'!$A$4:$A$63,"Year 3",'Hourly Usage'!$B$4:$B$63,$A19,'Hourly Usage'!$C$4:$C$63,$B19)*Assumptions!$B$7)/SUM(Assumptions!$B$5:$B$7)*(1+Assumptions!$B$4))</f>
        <v>0.499999999999999</v>
      </c>
      <c r="G19" s="37" t="n">
        <f aca="false">MIN(1,(SUMIFS('Hourly Usage'!G$4:G$63,'Hourly Usage'!$A$4:$A$63,"Year 1",'Hourly Usage'!$B$4:$B$63,$A19,'Hourly Usage'!$C$4:$C$63,$B19)*Assumptions!$B$5+SUMIFS('Hourly Usage'!G$4:G$63,'Hourly Usage'!$A$4:$A$63,"Year 2",'Hourly Usage'!$B$4:$B$63,$A19,'Hourly Usage'!$C$4:$C$63,$B19)*Assumptions!$B$6+SUMIFS('Hourly Usage'!G$4:G$63,'Hourly Usage'!$A$4:$A$63,"Year 3",'Hourly Usage'!$B$4:$B$63,$A19,'Hourly Usage'!$C$4:$C$63,$B19)*Assumptions!$B$7)/SUM(Assumptions!$B$5:$B$7)*(1+Assumptions!$B$4))</f>
        <v>0.350000000000001</v>
      </c>
      <c r="H19" s="37" t="n">
        <f aca="false">MIN(1,(SUMIFS('Hourly Usage'!H$4:H$63,'Hourly Usage'!$A$4:$A$63,"Year 1",'Hourly Usage'!$B$4:$B$63,$A19,'Hourly Usage'!$C$4:$C$63,$B19)*Assumptions!$B$5+SUMIFS('Hourly Usage'!H$4:H$63,'Hourly Usage'!$A$4:$A$63,"Year 2",'Hourly Usage'!$B$4:$B$63,$A19,'Hourly Usage'!$C$4:$C$63,$B19)*Assumptions!$B$6+SUMIFS('Hourly Usage'!H$4:H$63,'Hourly Usage'!$A$4:$A$63,"Year 3",'Hourly Usage'!$B$4:$B$63,$A19,'Hourly Usage'!$C$4:$C$63,$B19)*Assumptions!$B$7)/SUM(Assumptions!$B$5:$B$7)*(1+Assumptions!$B$4))</f>
        <v>0.699999999999998</v>
      </c>
      <c r="I19" s="37" t="n">
        <f aca="false">MIN(1,(SUMIFS('Hourly Usage'!I$4:I$63,'Hourly Usage'!$A$4:$A$63,"Year 1",'Hourly Usage'!$B$4:$B$63,$A19,'Hourly Usage'!$C$4:$C$63,$B19)*Assumptions!$B$5+SUMIFS('Hourly Usage'!I$4:I$63,'Hourly Usage'!$A$4:$A$63,"Year 2",'Hourly Usage'!$B$4:$B$63,$A19,'Hourly Usage'!$C$4:$C$63,$B19)*Assumptions!$B$6+SUMIFS('Hourly Usage'!I$4:I$63,'Hourly Usage'!$A$4:$A$63,"Year 3",'Hourly Usage'!$B$4:$B$63,$A19,'Hourly Usage'!$C$4:$C$63,$B19)*Assumptions!$B$7)/SUM(Assumptions!$B$5:$B$7)*(1+Assumptions!$B$4))</f>
        <v>0.550000000000002</v>
      </c>
      <c r="J19" s="37" t="n">
        <f aca="false">MIN(1,(SUMIFS('Hourly Usage'!J$4:J$63,'Hourly Usage'!$A$4:$A$63,"Year 1",'Hourly Usage'!$B$4:$B$63,$A19,'Hourly Usage'!$C$4:$C$63,$B19)*Assumptions!$B$5+SUMIFS('Hourly Usage'!J$4:J$63,'Hourly Usage'!$A$4:$A$63,"Year 2",'Hourly Usage'!$B$4:$B$63,$A19,'Hourly Usage'!$C$4:$C$63,$B19)*Assumptions!$B$6+SUMIFS('Hourly Usage'!J$4:J$63,'Hourly Usage'!$A$4:$A$63,"Year 3",'Hourly Usage'!$B$4:$B$63,$A19,'Hourly Usage'!$C$4:$C$63,$B19)*Assumptions!$B$7)/SUM(Assumptions!$B$5:$B$7)*(1+Assumptions!$B$4))</f>
        <v>0.3</v>
      </c>
      <c r="K19" s="37" t="n">
        <f aca="false">MIN(1,(SUMIFS('Hourly Usage'!K$4:K$63,'Hourly Usage'!$A$4:$A$63,"Year 1",'Hourly Usage'!$B$4:$B$63,$A19,'Hourly Usage'!$C$4:$C$63,$B19)*Assumptions!$B$5+SUMIFS('Hourly Usage'!K$4:K$63,'Hourly Usage'!$A$4:$A$63,"Year 2",'Hourly Usage'!$B$4:$B$63,$A19,'Hourly Usage'!$C$4:$C$63,$B19)*Assumptions!$B$6+SUMIFS('Hourly Usage'!K$4:K$63,'Hourly Usage'!$A$4:$A$63,"Year 3",'Hourly Usage'!$B$4:$B$63,$A19,'Hourly Usage'!$C$4:$C$63,$B19)*Assumptions!$B$7)/SUM(Assumptions!$B$5:$B$7)*(1+Assumptions!$B$4))</f>
        <v>0.749999999999997</v>
      </c>
      <c r="L19" s="37" t="n">
        <f aca="false">MIN(1,(SUMIFS('Hourly Usage'!L$4:L$63,'Hourly Usage'!$A$4:$A$63,"Year 1",'Hourly Usage'!$B$4:$B$63,$A19,'Hourly Usage'!$C$4:$C$63,$B19)*Assumptions!$B$5+SUMIFS('Hourly Usage'!L$4:L$63,'Hourly Usage'!$A$4:$A$63,"Year 2",'Hourly Usage'!$B$4:$B$63,$A19,'Hourly Usage'!$C$4:$C$63,$B19)*Assumptions!$B$6+SUMIFS('Hourly Usage'!L$4:L$63,'Hourly Usage'!$A$4:$A$63,"Year 3",'Hourly Usage'!$B$4:$B$63,$A19,'Hourly Usage'!$C$4:$C$63,$B19)*Assumptions!$B$7)/SUM(Assumptions!$B$5:$B$7)*(1+Assumptions!$B$4))</f>
        <v>1</v>
      </c>
      <c r="M19" s="21" t="n">
        <f aca="false">SUM(D19:L19)</f>
        <v>4.65</v>
      </c>
      <c r="N19" s="10" t="n">
        <f aca="false">9-M19</f>
        <v>4.35</v>
      </c>
    </row>
    <row r="20" customFormat="false" ht="15" hidden="false" customHeight="false" outlineLevel="0" collapsed="false">
      <c r="B20" s="3" t="s">
        <v>226</v>
      </c>
      <c r="C20" s="3" t="n">
        <f aca="false">SUM(C15:C19)</f>
        <v>10</v>
      </c>
      <c r="D20" s="41" t="n">
        <f aca="false">AVERAGE(D15:D19)</f>
        <v>0</v>
      </c>
      <c r="E20" s="41" t="n">
        <f aca="false">AVERAGE(E15:E19)</f>
        <v>0.25</v>
      </c>
      <c r="F20" s="41" t="n">
        <f aca="false">AVERAGE(F15:F19)</f>
        <v>0.249999999999999</v>
      </c>
      <c r="G20" s="41" t="n">
        <f aca="false">AVERAGE(G15:G19)</f>
        <v>0.265</v>
      </c>
      <c r="H20" s="41" t="n">
        <f aca="false">AVERAGE(H15:H19)</f>
        <v>0.859999999999998</v>
      </c>
      <c r="I20" s="41" t="n">
        <f aca="false">AVERAGE(I15:I19)</f>
        <v>0.641666666666668</v>
      </c>
      <c r="J20" s="41" t="n">
        <f aca="false">AVERAGE(J15:J19)</f>
        <v>0.386666666666666</v>
      </c>
      <c r="K20" s="41" t="n">
        <f aca="false">AVERAGE(K15:K19)</f>
        <v>0.649999999999998</v>
      </c>
      <c r="L20" s="41" t="n">
        <f aca="false">AVERAGE(L15:L19)</f>
        <v>0.6</v>
      </c>
      <c r="M20" s="38" t="n">
        <f aca="false">SUM(M15:M19)</f>
        <v>19.5166666666667</v>
      </c>
      <c r="N20" s="38" t="n">
        <f aca="false">SUM(N15:N19)</f>
        <v>25.4833333333334</v>
      </c>
    </row>
    <row r="22" customFormat="false" ht="15" hidden="false" customHeight="false" outlineLevel="0" collapsed="false">
      <c r="A22" s="36" t="s">
        <v>205</v>
      </c>
    </row>
    <row r="23" customFormat="false" ht="30" hidden="false" customHeight="true" outlineLevel="0" collapsed="false">
      <c r="A23" s="8" t="s">
        <v>31</v>
      </c>
      <c r="B23" s="8" t="s">
        <v>58</v>
      </c>
      <c r="C23" s="8" t="s">
        <v>224</v>
      </c>
      <c r="D23" s="8" t="s">
        <v>71</v>
      </c>
      <c r="E23" s="8" t="s">
        <v>74</v>
      </c>
      <c r="F23" s="8" t="s">
        <v>76</v>
      </c>
      <c r="G23" s="8" t="s">
        <v>78</v>
      </c>
      <c r="H23" s="8" t="s">
        <v>79</v>
      </c>
      <c r="I23" s="8" t="s">
        <v>81</v>
      </c>
      <c r="J23" s="8" t="s">
        <v>85</v>
      </c>
      <c r="K23" s="8" t="s">
        <v>88</v>
      </c>
      <c r="L23" s="8" t="s">
        <v>91</v>
      </c>
      <c r="M23" s="8" t="s">
        <v>225</v>
      </c>
      <c r="N23" s="8" t="s">
        <v>201</v>
      </c>
    </row>
    <row r="24" customFormat="false" ht="15" hidden="false" customHeight="false" outlineLevel="0" collapsed="false">
      <c r="A24" s="26" t="s">
        <v>44</v>
      </c>
      <c r="B24" s="26" t="s">
        <v>70</v>
      </c>
      <c r="C24" s="26" t="n">
        <f aca="false">COUNTIF(D24:L24,"&gt;="&amp;Assumptions!$B$10)</f>
        <v>1</v>
      </c>
      <c r="D24" s="37" t="n">
        <f aca="false">MIN(1,(SUMIFS('Hourly Usage'!D$4:D$63,'Hourly Usage'!$A$4:$A$63,"Year 1",'Hourly Usage'!$B$4:$B$63,$A24,'Hourly Usage'!$C$4:$C$63,$B24)*Assumptions!$B$5+SUMIFS('Hourly Usage'!D$4:D$63,'Hourly Usage'!$A$4:$A$63,"Year 2",'Hourly Usage'!$B$4:$B$63,$A24,'Hourly Usage'!$C$4:$C$63,$B24)*Assumptions!$B$6+SUMIFS('Hourly Usage'!D$4:D$63,'Hourly Usage'!$A$4:$A$63,"Year 3",'Hourly Usage'!$B$4:$B$63,$A24,'Hourly Usage'!$C$4:$C$63,$B24)*Assumptions!$B$7)/SUM(Assumptions!$B$5:$B$7)*(1+Assumptions!$B$4))</f>
        <v>0</v>
      </c>
      <c r="E24" s="37" t="n">
        <f aca="false">MIN(1,(SUMIFS('Hourly Usage'!E$4:E$63,'Hourly Usage'!$A$4:$A$63,"Year 1",'Hourly Usage'!$B$4:$B$63,$A24,'Hourly Usage'!$C$4:$C$63,$B24)*Assumptions!$B$5+SUMIFS('Hourly Usage'!E$4:E$63,'Hourly Usage'!$A$4:$A$63,"Year 2",'Hourly Usage'!$B$4:$B$63,$A24,'Hourly Usage'!$C$4:$C$63,$B24)*Assumptions!$B$6+SUMIFS('Hourly Usage'!E$4:E$63,'Hourly Usage'!$A$4:$A$63,"Year 3",'Hourly Usage'!$B$4:$B$63,$A24,'Hourly Usage'!$C$4:$C$63,$B24)*Assumptions!$B$7)/SUM(Assumptions!$B$5:$B$7)*(1+Assumptions!$B$4))</f>
        <v>0.5</v>
      </c>
      <c r="F24" s="37" t="n">
        <f aca="false">MIN(1,(SUMIFS('Hourly Usage'!F$4:F$63,'Hourly Usage'!$A$4:$A$63,"Year 1",'Hourly Usage'!$B$4:$B$63,$A24,'Hourly Usage'!$C$4:$C$63,$B24)*Assumptions!$B$5+SUMIFS('Hourly Usage'!F$4:F$63,'Hourly Usage'!$A$4:$A$63,"Year 2",'Hourly Usage'!$B$4:$B$63,$A24,'Hourly Usage'!$C$4:$C$63,$B24)*Assumptions!$B$6+SUMIFS('Hourly Usage'!F$4:F$63,'Hourly Usage'!$A$4:$A$63,"Year 3",'Hourly Usage'!$B$4:$B$63,$A24,'Hourly Usage'!$C$4:$C$63,$B24)*Assumptions!$B$7)/SUM(Assumptions!$B$5:$B$7)*(1+Assumptions!$B$4))</f>
        <v>0.249999999999999</v>
      </c>
      <c r="G24" s="37" t="n">
        <f aca="false">MIN(1,(SUMIFS('Hourly Usage'!G$4:G$63,'Hourly Usage'!$A$4:$A$63,"Year 1",'Hourly Usage'!$B$4:$B$63,$A24,'Hourly Usage'!$C$4:$C$63,$B24)*Assumptions!$B$5+SUMIFS('Hourly Usage'!G$4:G$63,'Hourly Usage'!$A$4:$A$63,"Year 2",'Hourly Usage'!$B$4:$B$63,$A24,'Hourly Usage'!$C$4:$C$63,$B24)*Assumptions!$B$6+SUMIFS('Hourly Usage'!G$4:G$63,'Hourly Usage'!$A$4:$A$63,"Year 3",'Hourly Usage'!$B$4:$B$63,$A24,'Hourly Usage'!$C$4:$C$63,$B24)*Assumptions!$B$7)/SUM(Assumptions!$B$5:$B$7)*(1+Assumptions!$B$4))</f>
        <v>0</v>
      </c>
      <c r="H24" s="37" t="n">
        <f aca="false">MIN(1,(SUMIFS('Hourly Usage'!H$4:H$63,'Hourly Usage'!$A$4:$A$63,"Year 1",'Hourly Usage'!$B$4:$B$63,$A24,'Hourly Usage'!$C$4:$C$63,$B24)*Assumptions!$B$5+SUMIFS('Hourly Usage'!H$4:H$63,'Hourly Usage'!$A$4:$A$63,"Year 2",'Hourly Usage'!$B$4:$B$63,$A24,'Hourly Usage'!$C$4:$C$63,$B24)*Assumptions!$B$6+SUMIFS('Hourly Usage'!H$4:H$63,'Hourly Usage'!$A$4:$A$63,"Year 3",'Hourly Usage'!$B$4:$B$63,$A24,'Hourly Usage'!$C$4:$C$63,$B24)*Assumptions!$B$7)/SUM(Assumptions!$B$5:$B$7)*(1+Assumptions!$B$4))</f>
        <v>0.3</v>
      </c>
      <c r="I24" s="37" t="n">
        <f aca="false">MIN(1,(SUMIFS('Hourly Usage'!I$4:I$63,'Hourly Usage'!$A$4:$A$63,"Year 1",'Hourly Usage'!$B$4:$B$63,$A24,'Hourly Usage'!$C$4:$C$63,$B24)*Assumptions!$B$5+SUMIFS('Hourly Usage'!I$4:I$63,'Hourly Usage'!$A$4:$A$63,"Year 2",'Hourly Usage'!$B$4:$B$63,$A24,'Hourly Usage'!$C$4:$C$63,$B24)*Assumptions!$B$6+SUMIFS('Hourly Usage'!I$4:I$63,'Hourly Usage'!$A$4:$A$63,"Year 3",'Hourly Usage'!$B$4:$B$63,$A24,'Hourly Usage'!$C$4:$C$63,$B24)*Assumptions!$B$7)/SUM(Assumptions!$B$5:$B$7)*(1+Assumptions!$B$4))</f>
        <v>0</v>
      </c>
      <c r="J24" s="37" t="n">
        <f aca="false">MIN(1,(SUMIFS('Hourly Usage'!J$4:J$63,'Hourly Usage'!$A$4:$A$63,"Year 1",'Hourly Usage'!$B$4:$B$63,$A24,'Hourly Usage'!$C$4:$C$63,$B24)*Assumptions!$B$5+SUMIFS('Hourly Usage'!J$4:J$63,'Hourly Usage'!$A$4:$A$63,"Year 2",'Hourly Usage'!$B$4:$B$63,$A24,'Hourly Usage'!$C$4:$C$63,$B24)*Assumptions!$B$6+SUMIFS('Hourly Usage'!J$4:J$63,'Hourly Usage'!$A$4:$A$63,"Year 3",'Hourly Usage'!$B$4:$B$63,$A24,'Hourly Usage'!$C$4:$C$63,$B24)*Assumptions!$B$7)/SUM(Assumptions!$B$5:$B$7)*(1+Assumptions!$B$4))</f>
        <v>0.2</v>
      </c>
      <c r="K24" s="37" t="n">
        <f aca="false">MIN(1,(SUMIFS('Hourly Usage'!K$4:K$63,'Hourly Usage'!$A$4:$A$63,"Year 1",'Hourly Usage'!$B$4:$B$63,$A24,'Hourly Usage'!$C$4:$C$63,$B24)*Assumptions!$B$5+SUMIFS('Hourly Usage'!K$4:K$63,'Hourly Usage'!$A$4:$A$63,"Year 2",'Hourly Usage'!$B$4:$B$63,$A24,'Hourly Usage'!$C$4:$C$63,$B24)*Assumptions!$B$6+SUMIFS('Hourly Usage'!K$4:K$63,'Hourly Usage'!$A$4:$A$63,"Year 3",'Hourly Usage'!$B$4:$B$63,$A24,'Hourly Usage'!$C$4:$C$63,$B24)*Assumptions!$B$7)/SUM(Assumptions!$B$5:$B$7)*(1+Assumptions!$B$4))</f>
        <v>0.499999999999996</v>
      </c>
      <c r="L24" s="37" t="n">
        <f aca="false">MIN(1,(SUMIFS('Hourly Usage'!L$4:L$63,'Hourly Usage'!$A$4:$A$63,"Year 1",'Hourly Usage'!$B$4:$B$63,$A24,'Hourly Usage'!$C$4:$C$63,$B24)*Assumptions!$B$5+SUMIFS('Hourly Usage'!L$4:L$63,'Hourly Usage'!$A$4:$A$63,"Year 2",'Hourly Usage'!$B$4:$B$63,$A24,'Hourly Usage'!$C$4:$C$63,$B24)*Assumptions!$B$6+SUMIFS('Hourly Usage'!L$4:L$63,'Hourly Usage'!$A$4:$A$63,"Year 3",'Hourly Usage'!$B$4:$B$63,$A24,'Hourly Usage'!$C$4:$C$63,$B24)*Assumptions!$B$7)/SUM(Assumptions!$B$5:$B$7)*(1+Assumptions!$B$4))</f>
        <v>1</v>
      </c>
      <c r="M24" s="21" t="n">
        <f aca="false">SUM(D24:L24)</f>
        <v>2.74999999999999</v>
      </c>
      <c r="N24" s="10" t="n">
        <f aca="false">9-M24</f>
        <v>6.25000000000001</v>
      </c>
    </row>
    <row r="25" customFormat="false" ht="15" hidden="false" customHeight="false" outlineLevel="0" collapsed="false">
      <c r="A25" s="26" t="s">
        <v>44</v>
      </c>
      <c r="B25" s="26" t="s">
        <v>94</v>
      </c>
      <c r="C25" s="26" t="n">
        <f aca="false">COUNTIF(D25:L25,"&gt;="&amp;Assumptions!$B$10)</f>
        <v>3</v>
      </c>
      <c r="D25" s="37" t="n">
        <f aca="false">MIN(1,(SUMIFS('Hourly Usage'!D$4:D$63,'Hourly Usage'!$A$4:$A$63,"Year 1",'Hourly Usage'!$B$4:$B$63,$A25,'Hourly Usage'!$C$4:$C$63,$B25)*Assumptions!$B$5+SUMIFS('Hourly Usage'!D$4:D$63,'Hourly Usage'!$A$4:$A$63,"Year 2",'Hourly Usage'!$B$4:$B$63,$A25,'Hourly Usage'!$C$4:$C$63,$B25)*Assumptions!$B$6+SUMIFS('Hourly Usage'!D$4:D$63,'Hourly Usage'!$A$4:$A$63,"Year 3",'Hourly Usage'!$B$4:$B$63,$A25,'Hourly Usage'!$C$4:$C$63,$B25)*Assumptions!$B$7)/SUM(Assumptions!$B$5:$B$7)*(1+Assumptions!$B$4))</f>
        <v>0</v>
      </c>
      <c r="E25" s="37" t="n">
        <f aca="false">MIN(1,(SUMIFS('Hourly Usage'!E$4:E$63,'Hourly Usage'!$A$4:$A$63,"Year 1",'Hourly Usage'!$B$4:$B$63,$A25,'Hourly Usage'!$C$4:$C$63,$B25)*Assumptions!$B$5+SUMIFS('Hourly Usage'!E$4:E$63,'Hourly Usage'!$A$4:$A$63,"Year 2",'Hourly Usage'!$B$4:$B$63,$A25,'Hourly Usage'!$C$4:$C$63,$B25)*Assumptions!$B$6+SUMIFS('Hourly Usage'!E$4:E$63,'Hourly Usage'!$A$4:$A$63,"Year 3",'Hourly Usage'!$B$4:$B$63,$A25,'Hourly Usage'!$C$4:$C$63,$B25)*Assumptions!$B$7)/SUM(Assumptions!$B$5:$B$7)*(1+Assumptions!$B$4))</f>
        <v>0</v>
      </c>
      <c r="F25" s="37" t="n">
        <f aca="false">MIN(1,(SUMIFS('Hourly Usage'!F$4:F$63,'Hourly Usage'!$A$4:$A$63,"Year 1",'Hourly Usage'!$B$4:$B$63,$A25,'Hourly Usage'!$C$4:$C$63,$B25)*Assumptions!$B$5+SUMIFS('Hourly Usage'!F$4:F$63,'Hourly Usage'!$A$4:$A$63,"Year 2",'Hourly Usage'!$B$4:$B$63,$A25,'Hourly Usage'!$C$4:$C$63,$B25)*Assumptions!$B$6+SUMIFS('Hourly Usage'!F$4:F$63,'Hourly Usage'!$A$4:$A$63,"Year 3",'Hourly Usage'!$B$4:$B$63,$A25,'Hourly Usage'!$C$4:$C$63,$B25)*Assumptions!$B$7)/SUM(Assumptions!$B$5:$B$7)*(1+Assumptions!$B$4))</f>
        <v>0</v>
      </c>
      <c r="G25" s="37" t="n">
        <f aca="false">MIN(1,(SUMIFS('Hourly Usage'!G$4:G$63,'Hourly Usage'!$A$4:$A$63,"Year 1",'Hourly Usage'!$B$4:$B$63,$A25,'Hourly Usage'!$C$4:$C$63,$B25)*Assumptions!$B$5+SUMIFS('Hourly Usage'!G$4:G$63,'Hourly Usage'!$A$4:$A$63,"Year 2",'Hourly Usage'!$B$4:$B$63,$A25,'Hourly Usage'!$C$4:$C$63,$B25)*Assumptions!$B$6+SUMIFS('Hourly Usage'!G$4:G$63,'Hourly Usage'!$A$4:$A$63,"Year 3",'Hourly Usage'!$B$4:$B$63,$A25,'Hourly Usage'!$C$4:$C$63,$B25)*Assumptions!$B$7)/SUM(Assumptions!$B$5:$B$7)*(1+Assumptions!$B$4))</f>
        <v>0.249999999999999</v>
      </c>
      <c r="H25" s="37" t="n">
        <f aca="false">MIN(1,(SUMIFS('Hourly Usage'!H$4:H$63,'Hourly Usage'!$A$4:$A$63,"Year 1",'Hourly Usage'!$B$4:$B$63,$A25,'Hourly Usage'!$C$4:$C$63,$B25)*Assumptions!$B$5+SUMIFS('Hourly Usage'!H$4:H$63,'Hourly Usage'!$A$4:$A$63,"Year 2",'Hourly Usage'!$B$4:$B$63,$A25,'Hourly Usage'!$C$4:$C$63,$B25)*Assumptions!$B$6+SUMIFS('Hourly Usage'!H$4:H$63,'Hourly Usage'!$A$4:$A$63,"Year 3",'Hourly Usage'!$B$4:$B$63,$A25,'Hourly Usage'!$C$4:$C$63,$B25)*Assumptions!$B$7)/SUM(Assumptions!$B$5:$B$7)*(1+Assumptions!$B$4))</f>
        <v>0.699999999999999</v>
      </c>
      <c r="I25" s="37" t="n">
        <f aca="false">MIN(1,(SUMIFS('Hourly Usage'!I$4:I$63,'Hourly Usage'!$A$4:$A$63,"Year 1",'Hourly Usage'!$B$4:$B$63,$A25,'Hourly Usage'!$C$4:$C$63,$B25)*Assumptions!$B$5+SUMIFS('Hourly Usage'!I$4:I$63,'Hourly Usage'!$A$4:$A$63,"Year 2",'Hourly Usage'!$B$4:$B$63,$A25,'Hourly Usage'!$C$4:$C$63,$B25)*Assumptions!$B$6+SUMIFS('Hourly Usage'!I$4:I$63,'Hourly Usage'!$A$4:$A$63,"Year 3",'Hourly Usage'!$B$4:$B$63,$A25,'Hourly Usage'!$C$4:$C$63,$B25)*Assumptions!$B$7)/SUM(Assumptions!$B$5:$B$7)*(1+Assumptions!$B$4))</f>
        <v>1</v>
      </c>
      <c r="J25" s="37" t="n">
        <f aca="false">MIN(1,(SUMIFS('Hourly Usage'!J$4:J$63,'Hourly Usage'!$A$4:$A$63,"Year 1",'Hourly Usage'!$B$4:$B$63,$A25,'Hourly Usage'!$C$4:$C$63,$B25)*Assumptions!$B$5+SUMIFS('Hourly Usage'!J$4:J$63,'Hourly Usage'!$A$4:$A$63,"Year 2",'Hourly Usage'!$B$4:$B$63,$A25,'Hourly Usage'!$C$4:$C$63,$B25)*Assumptions!$B$6+SUMIFS('Hourly Usage'!J$4:J$63,'Hourly Usage'!$A$4:$A$63,"Year 3",'Hourly Usage'!$B$4:$B$63,$A25,'Hourly Usage'!$C$4:$C$63,$B25)*Assumptions!$B$7)/SUM(Assumptions!$B$5:$B$7)*(1+Assumptions!$B$4))</f>
        <v>0.799999999999999</v>
      </c>
      <c r="K25" s="37" t="n">
        <f aca="false">MIN(1,(SUMIFS('Hourly Usage'!K$4:K$63,'Hourly Usage'!$A$4:$A$63,"Year 1",'Hourly Usage'!$B$4:$B$63,$A25,'Hourly Usage'!$C$4:$C$63,$B25)*Assumptions!$B$5+SUMIFS('Hourly Usage'!K$4:K$63,'Hourly Usage'!$A$4:$A$63,"Year 2",'Hourly Usage'!$B$4:$B$63,$A25,'Hourly Usage'!$C$4:$C$63,$B25)*Assumptions!$B$6+SUMIFS('Hourly Usage'!K$4:K$63,'Hourly Usage'!$A$4:$A$63,"Year 3",'Hourly Usage'!$B$4:$B$63,$A25,'Hourly Usage'!$C$4:$C$63,$B25)*Assumptions!$B$7)/SUM(Assumptions!$B$5:$B$7)*(1+Assumptions!$B$4))</f>
        <v>0.749999999999999</v>
      </c>
      <c r="L25" s="37" t="n">
        <f aca="false">MIN(1,(SUMIFS('Hourly Usage'!L$4:L$63,'Hourly Usage'!$A$4:$A$63,"Year 1",'Hourly Usage'!$B$4:$B$63,$A25,'Hourly Usage'!$C$4:$C$63,$B25)*Assumptions!$B$5+SUMIFS('Hourly Usage'!L$4:L$63,'Hourly Usage'!$A$4:$A$63,"Year 2",'Hourly Usage'!$B$4:$B$63,$A25,'Hourly Usage'!$C$4:$C$63,$B25)*Assumptions!$B$6+SUMIFS('Hourly Usage'!L$4:L$63,'Hourly Usage'!$A$4:$A$63,"Year 3",'Hourly Usage'!$B$4:$B$63,$A25,'Hourly Usage'!$C$4:$C$63,$B25)*Assumptions!$B$7)/SUM(Assumptions!$B$5:$B$7)*(1+Assumptions!$B$4))</f>
        <v>0.250000000000002</v>
      </c>
      <c r="M25" s="21" t="n">
        <f aca="false">SUM(D25:L25)</f>
        <v>3.75</v>
      </c>
      <c r="N25" s="10" t="n">
        <f aca="false">9-M25</f>
        <v>5.25</v>
      </c>
    </row>
    <row r="26" customFormat="false" ht="15" hidden="false" customHeight="false" outlineLevel="0" collapsed="false">
      <c r="A26" s="26" t="s">
        <v>44</v>
      </c>
      <c r="B26" s="26" t="s">
        <v>105</v>
      </c>
      <c r="C26" s="26" t="n">
        <f aca="false">COUNTIF(D26:L26,"&gt;="&amp;Assumptions!$B$10)</f>
        <v>1</v>
      </c>
      <c r="D26" s="37" t="n">
        <f aca="false">MIN(1,(SUMIFS('Hourly Usage'!D$4:D$63,'Hourly Usage'!$A$4:$A$63,"Year 1",'Hourly Usage'!$B$4:$B$63,$A26,'Hourly Usage'!$C$4:$C$63,$B26)*Assumptions!$B$5+SUMIFS('Hourly Usage'!D$4:D$63,'Hourly Usage'!$A$4:$A$63,"Year 2",'Hourly Usage'!$B$4:$B$63,$A26,'Hourly Usage'!$C$4:$C$63,$B26)*Assumptions!$B$6+SUMIFS('Hourly Usage'!D$4:D$63,'Hourly Usage'!$A$4:$A$63,"Year 3",'Hourly Usage'!$B$4:$B$63,$A26,'Hourly Usage'!$C$4:$C$63,$B26)*Assumptions!$B$7)/SUM(Assumptions!$B$5:$B$7)*(1+Assumptions!$B$4))</f>
        <v>0.25</v>
      </c>
      <c r="E26" s="37" t="n">
        <f aca="false">MIN(1,(SUMIFS('Hourly Usage'!E$4:E$63,'Hourly Usage'!$A$4:$A$63,"Year 1",'Hourly Usage'!$B$4:$B$63,$A26,'Hourly Usage'!$C$4:$C$63,$B26)*Assumptions!$B$5+SUMIFS('Hourly Usage'!E$4:E$63,'Hourly Usage'!$A$4:$A$63,"Year 2",'Hourly Usage'!$B$4:$B$63,$A26,'Hourly Usage'!$C$4:$C$63,$B26)*Assumptions!$B$6+SUMIFS('Hourly Usage'!E$4:E$63,'Hourly Usage'!$A$4:$A$63,"Year 3",'Hourly Usage'!$B$4:$B$63,$A26,'Hourly Usage'!$C$4:$C$63,$B26)*Assumptions!$B$7)/SUM(Assumptions!$B$5:$B$7)*(1+Assumptions!$B$4))</f>
        <v>0.5</v>
      </c>
      <c r="F26" s="37" t="n">
        <f aca="false">MIN(1,(SUMIFS('Hourly Usage'!F$4:F$63,'Hourly Usage'!$A$4:$A$63,"Year 1",'Hourly Usage'!$B$4:$B$63,$A26,'Hourly Usage'!$C$4:$C$63,$B26)*Assumptions!$B$5+SUMIFS('Hourly Usage'!F$4:F$63,'Hourly Usage'!$A$4:$A$63,"Year 2",'Hourly Usage'!$B$4:$B$63,$A26,'Hourly Usage'!$C$4:$C$63,$B26)*Assumptions!$B$6+SUMIFS('Hourly Usage'!F$4:F$63,'Hourly Usage'!$A$4:$A$63,"Year 3",'Hourly Usage'!$B$4:$B$63,$A26,'Hourly Usage'!$C$4:$C$63,$B26)*Assumptions!$B$7)/SUM(Assumptions!$B$5:$B$7)*(1+Assumptions!$B$4))</f>
        <v>0.25</v>
      </c>
      <c r="G26" s="37" t="n">
        <f aca="false">MIN(1,(SUMIFS('Hourly Usage'!G$4:G$63,'Hourly Usage'!$A$4:$A$63,"Year 1",'Hourly Usage'!$B$4:$B$63,$A26,'Hourly Usage'!$C$4:$C$63,$B26)*Assumptions!$B$5+SUMIFS('Hourly Usage'!G$4:G$63,'Hourly Usage'!$A$4:$A$63,"Year 2",'Hourly Usage'!$B$4:$B$63,$A26,'Hourly Usage'!$C$4:$C$63,$B26)*Assumptions!$B$6+SUMIFS('Hourly Usage'!G$4:G$63,'Hourly Usage'!$A$4:$A$63,"Year 3",'Hourly Usage'!$B$4:$B$63,$A26,'Hourly Usage'!$C$4:$C$63,$B26)*Assumptions!$B$7)/SUM(Assumptions!$B$5:$B$7)*(1+Assumptions!$B$4))</f>
        <v>0.3</v>
      </c>
      <c r="H26" s="37" t="n">
        <f aca="false">MIN(1,(SUMIFS('Hourly Usage'!H$4:H$63,'Hourly Usage'!$A$4:$A$63,"Year 1",'Hourly Usage'!$B$4:$B$63,$A26,'Hourly Usage'!$C$4:$C$63,$B26)*Assumptions!$B$5+SUMIFS('Hourly Usage'!H$4:H$63,'Hourly Usage'!$A$4:$A$63,"Year 2",'Hourly Usage'!$B$4:$B$63,$A26,'Hourly Usage'!$C$4:$C$63,$B26)*Assumptions!$B$6+SUMIFS('Hourly Usage'!H$4:H$63,'Hourly Usage'!$A$4:$A$63,"Year 3",'Hourly Usage'!$B$4:$B$63,$A26,'Hourly Usage'!$C$4:$C$63,$B26)*Assumptions!$B$7)/SUM(Assumptions!$B$5:$B$7)*(1+Assumptions!$B$4))</f>
        <v>0.999999999999999</v>
      </c>
      <c r="I26" s="37" t="n">
        <f aca="false">MIN(1,(SUMIFS('Hourly Usage'!I$4:I$63,'Hourly Usage'!$A$4:$A$63,"Year 1",'Hourly Usage'!$B$4:$B$63,$A26,'Hourly Usage'!$C$4:$C$63,$B26)*Assumptions!$B$5+SUMIFS('Hourly Usage'!I$4:I$63,'Hourly Usage'!$A$4:$A$63,"Year 2",'Hourly Usage'!$B$4:$B$63,$A26,'Hourly Usage'!$C$4:$C$63,$B26)*Assumptions!$B$6+SUMIFS('Hourly Usage'!I$4:I$63,'Hourly Usage'!$A$4:$A$63,"Year 3",'Hourly Usage'!$B$4:$B$63,$A26,'Hourly Usage'!$C$4:$C$63,$B26)*Assumptions!$B$7)/SUM(Assumptions!$B$5:$B$7)*(1+Assumptions!$B$4))</f>
        <v>0.625000000000002</v>
      </c>
      <c r="J26" s="37" t="n">
        <f aca="false">MIN(1,(SUMIFS('Hourly Usage'!J$4:J$63,'Hourly Usage'!$A$4:$A$63,"Year 1",'Hourly Usage'!$B$4:$B$63,$A26,'Hourly Usage'!$C$4:$C$63,$B26)*Assumptions!$B$5+SUMIFS('Hourly Usage'!J$4:J$63,'Hourly Usage'!$A$4:$A$63,"Year 2",'Hourly Usage'!$B$4:$B$63,$A26,'Hourly Usage'!$C$4:$C$63,$B26)*Assumptions!$B$6+SUMIFS('Hourly Usage'!J$4:J$63,'Hourly Usage'!$A$4:$A$63,"Year 3",'Hourly Usage'!$B$4:$B$63,$A26,'Hourly Usage'!$C$4:$C$63,$B26)*Assumptions!$B$7)/SUM(Assumptions!$B$5:$B$7)*(1+Assumptions!$B$4))</f>
        <v>0.249999999999996</v>
      </c>
      <c r="K26" s="37" t="n">
        <f aca="false">MIN(1,(SUMIFS('Hourly Usage'!K$4:K$63,'Hourly Usage'!$A$4:$A$63,"Year 1",'Hourly Usage'!$B$4:$B$63,$A26,'Hourly Usage'!$C$4:$C$63,$B26)*Assumptions!$B$5+SUMIFS('Hourly Usage'!K$4:K$63,'Hourly Usage'!$A$4:$A$63,"Year 2",'Hourly Usage'!$B$4:$B$63,$A26,'Hourly Usage'!$C$4:$C$63,$B26)*Assumptions!$B$6+SUMIFS('Hourly Usage'!K$4:K$63,'Hourly Usage'!$A$4:$A$63,"Year 3",'Hourly Usage'!$B$4:$B$63,$A26,'Hourly Usage'!$C$4:$C$63,$B26)*Assumptions!$B$7)/SUM(Assumptions!$B$5:$B$7)*(1+Assumptions!$B$4))</f>
        <v>0.249999999999998</v>
      </c>
      <c r="L26" s="37" t="n">
        <f aca="false">MIN(1,(SUMIFS('Hourly Usage'!L$4:L$63,'Hourly Usage'!$A$4:$A$63,"Year 1",'Hourly Usage'!$B$4:$B$63,$A26,'Hourly Usage'!$C$4:$C$63,$B26)*Assumptions!$B$5+SUMIFS('Hourly Usage'!L$4:L$63,'Hourly Usage'!$A$4:$A$63,"Year 2",'Hourly Usage'!$B$4:$B$63,$A26,'Hourly Usage'!$C$4:$C$63,$B26)*Assumptions!$B$6+SUMIFS('Hourly Usage'!L$4:L$63,'Hourly Usage'!$A$4:$A$63,"Year 3",'Hourly Usage'!$B$4:$B$63,$A26,'Hourly Usage'!$C$4:$C$63,$B26)*Assumptions!$B$7)/SUM(Assumptions!$B$5:$B$7)*(1+Assumptions!$B$4))</f>
        <v>0.5</v>
      </c>
      <c r="M26" s="21" t="n">
        <f aca="false">SUM(D26:L26)</f>
        <v>3.925</v>
      </c>
      <c r="N26" s="10" t="n">
        <f aca="false">9-M26</f>
        <v>5.07500000000001</v>
      </c>
    </row>
    <row r="27" customFormat="false" ht="15" hidden="false" customHeight="false" outlineLevel="0" collapsed="false">
      <c r="A27" s="26" t="s">
        <v>44</v>
      </c>
      <c r="B27" s="26" t="s">
        <v>117</v>
      </c>
      <c r="C27" s="26" t="n">
        <f aca="false">COUNTIF(D27:L27,"&gt;="&amp;Assumptions!$B$10)</f>
        <v>2</v>
      </c>
      <c r="D27" s="37" t="n">
        <f aca="false">MIN(1,(SUMIFS('Hourly Usage'!D$4:D$63,'Hourly Usage'!$A$4:$A$63,"Year 1",'Hourly Usage'!$B$4:$B$63,$A27,'Hourly Usage'!$C$4:$C$63,$B27)*Assumptions!$B$5+SUMIFS('Hourly Usage'!D$4:D$63,'Hourly Usage'!$A$4:$A$63,"Year 2",'Hourly Usage'!$B$4:$B$63,$A27,'Hourly Usage'!$C$4:$C$63,$B27)*Assumptions!$B$6+SUMIFS('Hourly Usage'!D$4:D$63,'Hourly Usage'!$A$4:$A$63,"Year 3",'Hourly Usage'!$B$4:$B$63,$A27,'Hourly Usage'!$C$4:$C$63,$B27)*Assumptions!$B$7)/SUM(Assumptions!$B$5:$B$7)*(1+Assumptions!$B$4))</f>
        <v>0</v>
      </c>
      <c r="E27" s="37" t="n">
        <f aca="false">MIN(1,(SUMIFS('Hourly Usage'!E$4:E$63,'Hourly Usage'!$A$4:$A$63,"Year 1",'Hourly Usage'!$B$4:$B$63,$A27,'Hourly Usage'!$C$4:$C$63,$B27)*Assumptions!$B$5+SUMIFS('Hourly Usage'!E$4:E$63,'Hourly Usage'!$A$4:$A$63,"Year 2",'Hourly Usage'!$B$4:$B$63,$A27,'Hourly Usage'!$C$4:$C$63,$B27)*Assumptions!$B$6+SUMIFS('Hourly Usage'!E$4:E$63,'Hourly Usage'!$A$4:$A$63,"Year 3",'Hourly Usage'!$B$4:$B$63,$A27,'Hourly Usage'!$C$4:$C$63,$B27)*Assumptions!$B$7)/SUM(Assumptions!$B$5:$B$7)*(1+Assumptions!$B$4))</f>
        <v>0</v>
      </c>
      <c r="F27" s="37" t="n">
        <f aca="false">MIN(1,(SUMIFS('Hourly Usage'!F$4:F$63,'Hourly Usage'!$A$4:$A$63,"Year 1",'Hourly Usage'!$B$4:$B$63,$A27,'Hourly Usage'!$C$4:$C$63,$B27)*Assumptions!$B$5+SUMIFS('Hourly Usage'!F$4:F$63,'Hourly Usage'!$A$4:$A$63,"Year 2",'Hourly Usage'!$B$4:$B$63,$A27,'Hourly Usage'!$C$4:$C$63,$B27)*Assumptions!$B$6+SUMIFS('Hourly Usage'!F$4:F$63,'Hourly Usage'!$A$4:$A$63,"Year 3",'Hourly Usage'!$B$4:$B$63,$A27,'Hourly Usage'!$C$4:$C$63,$B27)*Assumptions!$B$7)/SUM(Assumptions!$B$5:$B$7)*(1+Assumptions!$B$4))</f>
        <v>0</v>
      </c>
      <c r="G27" s="37" t="n">
        <f aca="false">MIN(1,(SUMIFS('Hourly Usage'!G$4:G$63,'Hourly Usage'!$A$4:$A$63,"Year 1",'Hourly Usage'!$B$4:$B$63,$A27,'Hourly Usage'!$C$4:$C$63,$B27)*Assumptions!$B$5+SUMIFS('Hourly Usage'!G$4:G$63,'Hourly Usage'!$A$4:$A$63,"Year 2",'Hourly Usage'!$B$4:$B$63,$A27,'Hourly Usage'!$C$4:$C$63,$B27)*Assumptions!$B$6+SUMIFS('Hourly Usage'!G$4:G$63,'Hourly Usage'!$A$4:$A$63,"Year 3",'Hourly Usage'!$B$4:$B$63,$A27,'Hourly Usage'!$C$4:$C$63,$B27)*Assumptions!$B$7)/SUM(Assumptions!$B$5:$B$7)*(1+Assumptions!$B$4))</f>
        <v>0</v>
      </c>
      <c r="H27" s="37" t="n">
        <f aca="false">MIN(1,(SUMIFS('Hourly Usage'!H$4:H$63,'Hourly Usage'!$A$4:$A$63,"Year 1",'Hourly Usage'!$B$4:$B$63,$A27,'Hourly Usage'!$C$4:$C$63,$B27)*Assumptions!$B$5+SUMIFS('Hourly Usage'!H$4:H$63,'Hourly Usage'!$A$4:$A$63,"Year 2",'Hourly Usage'!$B$4:$B$63,$A27,'Hourly Usage'!$C$4:$C$63,$B27)*Assumptions!$B$6+SUMIFS('Hourly Usage'!H$4:H$63,'Hourly Usage'!$A$4:$A$63,"Year 3",'Hourly Usage'!$B$4:$B$63,$A27,'Hourly Usage'!$C$4:$C$63,$B27)*Assumptions!$B$7)/SUM(Assumptions!$B$5:$B$7)*(1+Assumptions!$B$4))</f>
        <v>0.499999999999998</v>
      </c>
      <c r="I27" s="37" t="n">
        <f aca="false">MIN(1,(SUMIFS('Hourly Usage'!I$4:I$63,'Hourly Usage'!$A$4:$A$63,"Year 1",'Hourly Usage'!$B$4:$B$63,$A27,'Hourly Usage'!$C$4:$C$63,$B27)*Assumptions!$B$5+SUMIFS('Hourly Usage'!I$4:I$63,'Hourly Usage'!$A$4:$A$63,"Year 2",'Hourly Usage'!$B$4:$B$63,$A27,'Hourly Usage'!$C$4:$C$63,$B27)*Assumptions!$B$6+SUMIFS('Hourly Usage'!I$4:I$63,'Hourly Usage'!$A$4:$A$63,"Year 3",'Hourly Usage'!$B$4:$B$63,$A27,'Hourly Usage'!$C$4:$C$63,$B27)*Assumptions!$B$7)/SUM(Assumptions!$B$5:$B$7)*(1+Assumptions!$B$4))</f>
        <v>0.400000000000001</v>
      </c>
      <c r="J27" s="37" t="n">
        <f aca="false">MIN(1,(SUMIFS('Hourly Usage'!J$4:J$63,'Hourly Usage'!$A$4:$A$63,"Year 1",'Hourly Usage'!$B$4:$B$63,$A27,'Hourly Usage'!$C$4:$C$63,$B27)*Assumptions!$B$5+SUMIFS('Hourly Usage'!J$4:J$63,'Hourly Usage'!$A$4:$A$63,"Year 2",'Hourly Usage'!$B$4:$B$63,$A27,'Hourly Usage'!$C$4:$C$63,$B27)*Assumptions!$B$6+SUMIFS('Hourly Usage'!J$4:J$63,'Hourly Usage'!$A$4:$A$63,"Year 3",'Hourly Usage'!$B$4:$B$63,$A27,'Hourly Usage'!$C$4:$C$63,$B27)*Assumptions!$B$7)/SUM(Assumptions!$B$5:$B$7)*(1+Assumptions!$B$4))</f>
        <v>0.799999999999999</v>
      </c>
      <c r="K27" s="37" t="n">
        <f aca="false">MIN(1,(SUMIFS('Hourly Usage'!K$4:K$63,'Hourly Usage'!$A$4:$A$63,"Year 1",'Hourly Usage'!$B$4:$B$63,$A27,'Hourly Usage'!$C$4:$C$63,$B27)*Assumptions!$B$5+SUMIFS('Hourly Usage'!K$4:K$63,'Hourly Usage'!$A$4:$A$63,"Year 2",'Hourly Usage'!$B$4:$B$63,$A27,'Hourly Usage'!$C$4:$C$63,$B27)*Assumptions!$B$6+SUMIFS('Hourly Usage'!K$4:K$63,'Hourly Usage'!$A$4:$A$63,"Year 3",'Hourly Usage'!$B$4:$B$63,$A27,'Hourly Usage'!$C$4:$C$63,$B27)*Assumptions!$B$7)/SUM(Assumptions!$B$5:$B$7)*(1+Assumptions!$B$4))</f>
        <v>0.999999999999999</v>
      </c>
      <c r="L27" s="37" t="n">
        <f aca="false">MIN(1,(SUMIFS('Hourly Usage'!L$4:L$63,'Hourly Usage'!$A$4:$A$63,"Year 1",'Hourly Usage'!$B$4:$B$63,$A27,'Hourly Usage'!$C$4:$C$63,$B27)*Assumptions!$B$5+SUMIFS('Hourly Usage'!L$4:L$63,'Hourly Usage'!$A$4:$A$63,"Year 2",'Hourly Usage'!$B$4:$B$63,$A27,'Hourly Usage'!$C$4:$C$63,$B27)*Assumptions!$B$6+SUMIFS('Hourly Usage'!L$4:L$63,'Hourly Usage'!$A$4:$A$63,"Year 3",'Hourly Usage'!$B$4:$B$63,$A27,'Hourly Usage'!$C$4:$C$63,$B27)*Assumptions!$B$7)/SUM(Assumptions!$B$5:$B$7)*(1+Assumptions!$B$4))</f>
        <v>0.45</v>
      </c>
      <c r="M27" s="21" t="n">
        <f aca="false">SUM(D27:L27)</f>
        <v>3.15</v>
      </c>
      <c r="N27" s="10" t="n">
        <f aca="false">9-M27</f>
        <v>5.85</v>
      </c>
    </row>
    <row r="28" customFormat="false" ht="15" hidden="false" customHeight="false" outlineLevel="0" collapsed="false">
      <c r="A28" s="26" t="s">
        <v>44</v>
      </c>
      <c r="B28" s="26" t="s">
        <v>118</v>
      </c>
      <c r="C28" s="26" t="n">
        <f aca="false">COUNTIF(D28:L28,"&gt;="&amp;Assumptions!$B$10)</f>
        <v>3</v>
      </c>
      <c r="D28" s="37" t="n">
        <f aca="false">MIN(1,(SUMIFS('Hourly Usage'!D$4:D$63,'Hourly Usage'!$A$4:$A$63,"Year 1",'Hourly Usage'!$B$4:$B$63,$A28,'Hourly Usage'!$C$4:$C$63,$B28)*Assumptions!$B$5+SUMIFS('Hourly Usage'!D$4:D$63,'Hourly Usage'!$A$4:$A$63,"Year 2",'Hourly Usage'!$B$4:$B$63,$A28,'Hourly Usage'!$C$4:$C$63,$B28)*Assumptions!$B$6+SUMIFS('Hourly Usage'!D$4:D$63,'Hourly Usage'!$A$4:$A$63,"Year 3",'Hourly Usage'!$B$4:$B$63,$A28,'Hourly Usage'!$C$4:$C$63,$B28)*Assumptions!$B$7)/SUM(Assumptions!$B$5:$B$7)*(1+Assumptions!$B$4))</f>
        <v>0</v>
      </c>
      <c r="E28" s="37" t="n">
        <f aca="false">MIN(1,(SUMIFS('Hourly Usage'!E$4:E$63,'Hourly Usage'!$A$4:$A$63,"Year 1",'Hourly Usage'!$B$4:$B$63,$A28,'Hourly Usage'!$C$4:$C$63,$B28)*Assumptions!$B$5+SUMIFS('Hourly Usage'!E$4:E$63,'Hourly Usage'!$A$4:$A$63,"Year 2",'Hourly Usage'!$B$4:$B$63,$A28,'Hourly Usage'!$C$4:$C$63,$B28)*Assumptions!$B$6+SUMIFS('Hourly Usage'!E$4:E$63,'Hourly Usage'!$A$4:$A$63,"Year 3",'Hourly Usage'!$B$4:$B$63,$A28,'Hourly Usage'!$C$4:$C$63,$B28)*Assumptions!$B$7)/SUM(Assumptions!$B$5:$B$7)*(1+Assumptions!$B$4))</f>
        <v>0.8</v>
      </c>
      <c r="F28" s="37" t="n">
        <f aca="false">MIN(1,(SUMIFS('Hourly Usage'!F$4:F$63,'Hourly Usage'!$A$4:$A$63,"Year 1",'Hourly Usage'!$B$4:$B$63,$A28,'Hourly Usage'!$C$4:$C$63,$B28)*Assumptions!$B$5+SUMIFS('Hourly Usage'!F$4:F$63,'Hourly Usage'!$A$4:$A$63,"Year 2",'Hourly Usage'!$B$4:$B$63,$A28,'Hourly Usage'!$C$4:$C$63,$B28)*Assumptions!$B$6+SUMIFS('Hourly Usage'!F$4:F$63,'Hourly Usage'!$A$4:$A$63,"Year 3",'Hourly Usage'!$B$4:$B$63,$A28,'Hourly Usage'!$C$4:$C$63,$B28)*Assumptions!$B$7)/SUM(Assumptions!$B$5:$B$7)*(1+Assumptions!$B$4))</f>
        <v>0.799999999999998</v>
      </c>
      <c r="G28" s="37" t="n">
        <f aca="false">MIN(1,(SUMIFS('Hourly Usage'!G$4:G$63,'Hourly Usage'!$A$4:$A$63,"Year 1",'Hourly Usage'!$B$4:$B$63,$A28,'Hourly Usage'!$C$4:$C$63,$B28)*Assumptions!$B$5+SUMIFS('Hourly Usage'!G$4:G$63,'Hourly Usage'!$A$4:$A$63,"Year 2",'Hourly Usage'!$B$4:$B$63,$A28,'Hourly Usage'!$C$4:$C$63,$B28)*Assumptions!$B$6+SUMIFS('Hourly Usage'!G$4:G$63,'Hourly Usage'!$A$4:$A$63,"Year 3",'Hourly Usage'!$B$4:$B$63,$A28,'Hourly Usage'!$C$4:$C$63,$B28)*Assumptions!$B$7)/SUM(Assumptions!$B$5:$B$7)*(1+Assumptions!$B$4))</f>
        <v>0.500000000000002</v>
      </c>
      <c r="H28" s="37" t="n">
        <f aca="false">MIN(1,(SUMIFS('Hourly Usage'!H$4:H$63,'Hourly Usage'!$A$4:$A$63,"Year 1",'Hourly Usage'!$B$4:$B$63,$A28,'Hourly Usage'!$C$4:$C$63,$B28)*Assumptions!$B$5+SUMIFS('Hourly Usage'!H$4:H$63,'Hourly Usage'!$A$4:$A$63,"Year 2",'Hourly Usage'!$B$4:$B$63,$A28,'Hourly Usage'!$C$4:$C$63,$B28)*Assumptions!$B$6+SUMIFS('Hourly Usage'!H$4:H$63,'Hourly Usage'!$A$4:$A$63,"Year 3",'Hourly Usage'!$B$4:$B$63,$A28,'Hourly Usage'!$C$4:$C$63,$B28)*Assumptions!$B$7)/SUM(Assumptions!$B$5:$B$7)*(1+Assumptions!$B$4))</f>
        <v>0.699999999999998</v>
      </c>
      <c r="I28" s="37" t="n">
        <f aca="false">MIN(1,(SUMIFS('Hourly Usage'!I$4:I$63,'Hourly Usage'!$A$4:$A$63,"Year 1",'Hourly Usage'!$B$4:$B$63,$A28,'Hourly Usage'!$C$4:$C$63,$B28)*Assumptions!$B$5+SUMIFS('Hourly Usage'!I$4:I$63,'Hourly Usage'!$A$4:$A$63,"Year 2",'Hourly Usage'!$B$4:$B$63,$A28,'Hourly Usage'!$C$4:$C$63,$B28)*Assumptions!$B$6+SUMIFS('Hourly Usage'!I$4:I$63,'Hourly Usage'!$A$4:$A$63,"Year 3",'Hourly Usage'!$B$4:$B$63,$A28,'Hourly Usage'!$C$4:$C$63,$B28)*Assumptions!$B$7)/SUM(Assumptions!$B$5:$B$7)*(1+Assumptions!$B$4))</f>
        <v>0.250000000000002</v>
      </c>
      <c r="J28" s="37" t="n">
        <f aca="false">MIN(1,(SUMIFS('Hourly Usage'!J$4:J$63,'Hourly Usage'!$A$4:$A$63,"Year 1",'Hourly Usage'!$B$4:$B$63,$A28,'Hourly Usage'!$C$4:$C$63,$B28)*Assumptions!$B$5+SUMIFS('Hourly Usage'!J$4:J$63,'Hourly Usage'!$A$4:$A$63,"Year 2",'Hourly Usage'!$B$4:$B$63,$A28,'Hourly Usage'!$C$4:$C$63,$B28)*Assumptions!$B$6+SUMIFS('Hourly Usage'!J$4:J$63,'Hourly Usage'!$A$4:$A$63,"Year 3",'Hourly Usage'!$B$4:$B$63,$A28,'Hourly Usage'!$C$4:$C$63,$B28)*Assumptions!$B$7)/SUM(Assumptions!$B$5:$B$7)*(1+Assumptions!$B$4))</f>
        <v>0</v>
      </c>
      <c r="K28" s="37" t="n">
        <f aca="false">MIN(1,(SUMIFS('Hourly Usage'!K$4:K$63,'Hourly Usage'!$A$4:$A$63,"Year 1",'Hourly Usage'!$B$4:$B$63,$A28,'Hourly Usage'!$C$4:$C$63,$B28)*Assumptions!$B$5+SUMIFS('Hourly Usage'!K$4:K$63,'Hourly Usage'!$A$4:$A$63,"Year 2",'Hourly Usage'!$B$4:$B$63,$A28,'Hourly Usage'!$C$4:$C$63,$B28)*Assumptions!$B$6+SUMIFS('Hourly Usage'!K$4:K$63,'Hourly Usage'!$A$4:$A$63,"Year 3",'Hourly Usage'!$B$4:$B$63,$A28,'Hourly Usage'!$C$4:$C$63,$B28)*Assumptions!$B$7)/SUM(Assumptions!$B$5:$B$7)*(1+Assumptions!$B$4))</f>
        <v>0.749999999999997</v>
      </c>
      <c r="L28" s="37" t="n">
        <f aca="false">MIN(1,(SUMIFS('Hourly Usage'!L$4:L$63,'Hourly Usage'!$A$4:$A$63,"Year 1",'Hourly Usage'!$B$4:$B$63,$A28,'Hourly Usage'!$C$4:$C$63,$B28)*Assumptions!$B$5+SUMIFS('Hourly Usage'!L$4:L$63,'Hourly Usage'!$A$4:$A$63,"Year 2",'Hourly Usage'!$B$4:$B$63,$A28,'Hourly Usage'!$C$4:$C$63,$B28)*Assumptions!$B$6+SUMIFS('Hourly Usage'!L$4:L$63,'Hourly Usage'!$A$4:$A$63,"Year 3",'Hourly Usage'!$B$4:$B$63,$A28,'Hourly Usage'!$C$4:$C$63,$B28)*Assumptions!$B$7)/SUM(Assumptions!$B$5:$B$7)*(1+Assumptions!$B$4))</f>
        <v>1</v>
      </c>
      <c r="M28" s="21" t="n">
        <f aca="false">SUM(D28:L28)</f>
        <v>4.8</v>
      </c>
      <c r="N28" s="10" t="n">
        <f aca="false">9-M28</f>
        <v>4.2</v>
      </c>
    </row>
    <row r="29" customFormat="false" ht="15" hidden="false" customHeight="false" outlineLevel="0" collapsed="false">
      <c r="B29" s="3" t="s">
        <v>226</v>
      </c>
      <c r="C29" s="3" t="n">
        <f aca="false">SUM(C24:C28)</f>
        <v>10</v>
      </c>
      <c r="D29" s="41" t="n">
        <f aca="false">AVERAGE(D24:D28)</f>
        <v>0.05</v>
      </c>
      <c r="E29" s="41" t="n">
        <f aca="false">AVERAGE(E24:E28)</f>
        <v>0.36</v>
      </c>
      <c r="F29" s="41" t="n">
        <f aca="false">AVERAGE(F24:F28)</f>
        <v>0.259999999999999</v>
      </c>
      <c r="G29" s="41" t="n">
        <f aca="false">AVERAGE(G24:G28)</f>
        <v>0.21</v>
      </c>
      <c r="H29" s="41" t="n">
        <f aca="false">AVERAGE(H24:H28)</f>
        <v>0.639999999999999</v>
      </c>
      <c r="I29" s="41" t="n">
        <f aca="false">AVERAGE(I24:I28)</f>
        <v>0.455000000000001</v>
      </c>
      <c r="J29" s="41" t="n">
        <f aca="false">AVERAGE(J24:J28)</f>
        <v>0.409999999999999</v>
      </c>
      <c r="K29" s="41" t="n">
        <f aca="false">AVERAGE(K24:K28)</f>
        <v>0.649999999999998</v>
      </c>
      <c r="L29" s="41" t="n">
        <f aca="false">AVERAGE(L24:L28)</f>
        <v>0.640000000000001</v>
      </c>
      <c r="M29" s="38" t="n">
        <f aca="false">SUM(M24:M28)</f>
        <v>18.375</v>
      </c>
      <c r="N29" s="38" t="n">
        <f aca="false">SUM(N24:N28)</f>
        <v>26.625</v>
      </c>
    </row>
    <row r="31" customFormat="false" ht="15" hidden="false" customHeight="false" outlineLevel="0" collapsed="false">
      <c r="A31" s="36" t="s">
        <v>158</v>
      </c>
    </row>
    <row r="32" customFormat="false" ht="30" hidden="false" customHeight="true" outlineLevel="0" collapsed="false">
      <c r="A32" s="8" t="s">
        <v>31</v>
      </c>
      <c r="B32" s="8" t="s">
        <v>58</v>
      </c>
      <c r="C32" s="8" t="s">
        <v>224</v>
      </c>
      <c r="D32" s="8" t="s">
        <v>71</v>
      </c>
      <c r="E32" s="8" t="s">
        <v>74</v>
      </c>
      <c r="F32" s="8" t="s">
        <v>76</v>
      </c>
      <c r="G32" s="8" t="s">
        <v>78</v>
      </c>
      <c r="H32" s="8" t="s">
        <v>79</v>
      </c>
      <c r="I32" s="8" t="s">
        <v>81</v>
      </c>
      <c r="J32" s="8" t="s">
        <v>85</v>
      </c>
      <c r="K32" s="8" t="s">
        <v>88</v>
      </c>
      <c r="L32" s="8" t="s">
        <v>91</v>
      </c>
      <c r="M32" s="8" t="s">
        <v>225</v>
      </c>
      <c r="N32" s="8" t="s">
        <v>201</v>
      </c>
    </row>
    <row r="33" customFormat="false" ht="15" hidden="false" customHeight="false" outlineLevel="0" collapsed="false">
      <c r="A33" s="26" t="s">
        <v>45</v>
      </c>
      <c r="B33" s="26" t="s">
        <v>70</v>
      </c>
      <c r="C33" s="26" t="n">
        <f aca="false">COUNTIF(D33:L33,"&gt;="&amp;Assumptions!$B$10)</f>
        <v>0</v>
      </c>
      <c r="D33" s="37" t="n">
        <f aca="false">MIN(1,(SUMIFS('Hourly Usage'!D$4:D$63,'Hourly Usage'!$A$4:$A$63,"Year 1",'Hourly Usage'!$B$4:$B$63,$A33,'Hourly Usage'!$C$4:$C$63,$B33)*Assumptions!$B$5+SUMIFS('Hourly Usage'!D$4:D$63,'Hourly Usage'!$A$4:$A$63,"Year 2",'Hourly Usage'!$B$4:$B$63,$A33,'Hourly Usage'!$C$4:$C$63,$B33)*Assumptions!$B$6+SUMIFS('Hourly Usage'!D$4:D$63,'Hourly Usage'!$A$4:$A$63,"Year 3",'Hourly Usage'!$B$4:$B$63,$A33,'Hourly Usage'!$C$4:$C$63,$B33)*Assumptions!$B$7)/SUM(Assumptions!$B$5:$B$7)*(1+Assumptions!$B$4))</f>
        <v>0</v>
      </c>
      <c r="E33" s="37" t="n">
        <f aca="false">MIN(1,(SUMIFS('Hourly Usage'!E$4:E$63,'Hourly Usage'!$A$4:$A$63,"Year 1",'Hourly Usage'!$B$4:$B$63,$A33,'Hourly Usage'!$C$4:$C$63,$B33)*Assumptions!$B$5+SUMIFS('Hourly Usage'!E$4:E$63,'Hourly Usage'!$A$4:$A$63,"Year 2",'Hourly Usage'!$B$4:$B$63,$A33,'Hourly Usage'!$C$4:$C$63,$B33)*Assumptions!$B$6+SUMIFS('Hourly Usage'!E$4:E$63,'Hourly Usage'!$A$4:$A$63,"Year 3",'Hourly Usage'!$B$4:$B$63,$A33,'Hourly Usage'!$C$4:$C$63,$B33)*Assumptions!$B$7)/SUM(Assumptions!$B$5:$B$7)*(1+Assumptions!$B$4))</f>
        <v>0</v>
      </c>
      <c r="F33" s="37" t="n">
        <f aca="false">MIN(1,(SUMIFS('Hourly Usage'!F$4:F$63,'Hourly Usage'!$A$4:$A$63,"Year 1",'Hourly Usage'!$B$4:$B$63,$A33,'Hourly Usage'!$C$4:$C$63,$B33)*Assumptions!$B$5+SUMIFS('Hourly Usage'!F$4:F$63,'Hourly Usage'!$A$4:$A$63,"Year 2",'Hourly Usage'!$B$4:$B$63,$A33,'Hourly Usage'!$C$4:$C$63,$B33)*Assumptions!$B$6+SUMIFS('Hourly Usage'!F$4:F$63,'Hourly Usage'!$A$4:$A$63,"Year 3",'Hourly Usage'!$B$4:$B$63,$A33,'Hourly Usage'!$C$4:$C$63,$B33)*Assumptions!$B$7)/SUM(Assumptions!$B$5:$B$7)*(1+Assumptions!$B$4))</f>
        <v>0</v>
      </c>
      <c r="G33" s="37" t="n">
        <f aca="false">MIN(1,(SUMIFS('Hourly Usage'!G$4:G$63,'Hourly Usage'!$A$4:$A$63,"Year 1",'Hourly Usage'!$B$4:$B$63,$A33,'Hourly Usage'!$C$4:$C$63,$B33)*Assumptions!$B$5+SUMIFS('Hourly Usage'!G$4:G$63,'Hourly Usage'!$A$4:$A$63,"Year 2",'Hourly Usage'!$B$4:$B$63,$A33,'Hourly Usage'!$C$4:$C$63,$B33)*Assumptions!$B$6+SUMIFS('Hourly Usage'!G$4:G$63,'Hourly Usage'!$A$4:$A$63,"Year 3",'Hourly Usage'!$B$4:$B$63,$A33,'Hourly Usage'!$C$4:$C$63,$B33)*Assumptions!$B$7)/SUM(Assumptions!$B$5:$B$7)*(1+Assumptions!$B$4))</f>
        <v>0.25</v>
      </c>
      <c r="H33" s="37" t="n">
        <f aca="false">MIN(1,(SUMIFS('Hourly Usage'!H$4:H$63,'Hourly Usage'!$A$4:$A$63,"Year 1",'Hourly Usage'!$B$4:$B$63,$A33,'Hourly Usage'!$C$4:$C$63,$B33)*Assumptions!$B$5+SUMIFS('Hourly Usage'!H$4:H$63,'Hourly Usage'!$A$4:$A$63,"Year 2",'Hourly Usage'!$B$4:$B$63,$A33,'Hourly Usage'!$C$4:$C$63,$B33)*Assumptions!$B$6+SUMIFS('Hourly Usage'!H$4:H$63,'Hourly Usage'!$A$4:$A$63,"Year 3",'Hourly Usage'!$B$4:$B$63,$A33,'Hourly Usage'!$C$4:$C$63,$B33)*Assumptions!$B$7)/SUM(Assumptions!$B$5:$B$7)*(1+Assumptions!$B$4))</f>
        <v>0.55</v>
      </c>
      <c r="I33" s="37" t="n">
        <f aca="false">MIN(1,(SUMIFS('Hourly Usage'!I$4:I$63,'Hourly Usage'!$A$4:$A$63,"Year 1",'Hourly Usage'!$B$4:$B$63,$A33,'Hourly Usage'!$C$4:$C$63,$B33)*Assumptions!$B$5+SUMIFS('Hourly Usage'!I$4:I$63,'Hourly Usage'!$A$4:$A$63,"Year 2",'Hourly Usage'!$B$4:$B$63,$A33,'Hourly Usage'!$C$4:$C$63,$B33)*Assumptions!$B$6+SUMIFS('Hourly Usage'!I$4:I$63,'Hourly Usage'!$A$4:$A$63,"Year 3",'Hourly Usage'!$B$4:$B$63,$A33,'Hourly Usage'!$C$4:$C$63,$B33)*Assumptions!$B$7)/SUM(Assumptions!$B$5:$B$7)*(1+Assumptions!$B$4))</f>
        <v>0.2</v>
      </c>
      <c r="J33" s="37" t="n">
        <f aca="false">MIN(1,(SUMIFS('Hourly Usage'!J$4:J$63,'Hourly Usage'!$A$4:$A$63,"Year 1",'Hourly Usage'!$B$4:$B$63,$A33,'Hourly Usage'!$C$4:$C$63,$B33)*Assumptions!$B$5+SUMIFS('Hourly Usage'!J$4:J$63,'Hourly Usage'!$A$4:$A$63,"Year 2",'Hourly Usage'!$B$4:$B$63,$A33,'Hourly Usage'!$C$4:$C$63,$B33)*Assumptions!$B$6+SUMIFS('Hourly Usage'!J$4:J$63,'Hourly Usage'!$A$4:$A$63,"Year 3",'Hourly Usage'!$B$4:$B$63,$A33,'Hourly Usage'!$C$4:$C$63,$B33)*Assumptions!$B$7)/SUM(Assumptions!$B$5:$B$7)*(1+Assumptions!$B$4))</f>
        <v>0.0999999999999991</v>
      </c>
      <c r="K33" s="37" t="n">
        <f aca="false">MIN(1,(SUMIFS('Hourly Usage'!K$4:K$63,'Hourly Usage'!$A$4:$A$63,"Year 1",'Hourly Usage'!$B$4:$B$63,$A33,'Hourly Usage'!$C$4:$C$63,$B33)*Assumptions!$B$5+SUMIFS('Hourly Usage'!K$4:K$63,'Hourly Usage'!$A$4:$A$63,"Year 2",'Hourly Usage'!$B$4:$B$63,$A33,'Hourly Usage'!$C$4:$C$63,$B33)*Assumptions!$B$6+SUMIFS('Hourly Usage'!K$4:K$63,'Hourly Usage'!$A$4:$A$63,"Year 3",'Hourly Usage'!$B$4:$B$63,$A33,'Hourly Usage'!$C$4:$C$63,$B33)*Assumptions!$B$7)/SUM(Assumptions!$B$5:$B$7)*(1+Assumptions!$B$4))</f>
        <v>0.149999999999999</v>
      </c>
      <c r="L33" s="37" t="n">
        <f aca="false">MIN(1,(SUMIFS('Hourly Usage'!L$4:L$63,'Hourly Usage'!$A$4:$A$63,"Year 1",'Hourly Usage'!$B$4:$B$63,$A33,'Hourly Usage'!$C$4:$C$63,$B33)*Assumptions!$B$5+SUMIFS('Hourly Usage'!L$4:L$63,'Hourly Usage'!$A$4:$A$63,"Year 2",'Hourly Usage'!$B$4:$B$63,$A33,'Hourly Usage'!$C$4:$C$63,$B33)*Assumptions!$B$6+SUMIFS('Hourly Usage'!L$4:L$63,'Hourly Usage'!$A$4:$A$63,"Year 3",'Hourly Usage'!$B$4:$B$63,$A33,'Hourly Usage'!$C$4:$C$63,$B33)*Assumptions!$B$7)/SUM(Assumptions!$B$5:$B$7)*(1+Assumptions!$B$4))</f>
        <v>0.3</v>
      </c>
      <c r="M33" s="21" t="n">
        <f aca="false">SUM(D33:L33)</f>
        <v>1.55</v>
      </c>
      <c r="N33" s="10" t="n">
        <f aca="false">9-M33</f>
        <v>7.45</v>
      </c>
    </row>
    <row r="34" customFormat="false" ht="15" hidden="false" customHeight="false" outlineLevel="0" collapsed="false">
      <c r="A34" s="26" t="s">
        <v>45</v>
      </c>
      <c r="B34" s="26" t="s">
        <v>94</v>
      </c>
      <c r="C34" s="26" t="n">
        <f aca="false">COUNTIF(D34:L34,"&gt;="&amp;Assumptions!$B$10)</f>
        <v>3</v>
      </c>
      <c r="D34" s="37" t="n">
        <f aca="false">MIN(1,(SUMIFS('Hourly Usage'!D$4:D$63,'Hourly Usage'!$A$4:$A$63,"Year 1",'Hourly Usage'!$B$4:$B$63,$A34,'Hourly Usage'!$C$4:$C$63,$B34)*Assumptions!$B$5+SUMIFS('Hourly Usage'!D$4:D$63,'Hourly Usage'!$A$4:$A$63,"Year 2",'Hourly Usage'!$B$4:$B$63,$A34,'Hourly Usage'!$C$4:$C$63,$B34)*Assumptions!$B$6+SUMIFS('Hourly Usage'!D$4:D$63,'Hourly Usage'!$A$4:$A$63,"Year 3",'Hourly Usage'!$B$4:$B$63,$A34,'Hourly Usage'!$C$4:$C$63,$B34)*Assumptions!$B$7)/SUM(Assumptions!$B$5:$B$7)*(1+Assumptions!$B$4))</f>
        <v>0</v>
      </c>
      <c r="E34" s="37" t="n">
        <f aca="false">MIN(1,(SUMIFS('Hourly Usage'!E$4:E$63,'Hourly Usage'!$A$4:$A$63,"Year 1",'Hourly Usage'!$B$4:$B$63,$A34,'Hourly Usage'!$C$4:$C$63,$B34)*Assumptions!$B$5+SUMIFS('Hourly Usage'!E$4:E$63,'Hourly Usage'!$A$4:$A$63,"Year 2",'Hourly Usage'!$B$4:$B$63,$A34,'Hourly Usage'!$C$4:$C$63,$B34)*Assumptions!$B$6+SUMIFS('Hourly Usage'!E$4:E$63,'Hourly Usage'!$A$4:$A$63,"Year 3",'Hourly Usage'!$B$4:$B$63,$A34,'Hourly Usage'!$C$4:$C$63,$B34)*Assumptions!$B$7)/SUM(Assumptions!$B$5:$B$7)*(1+Assumptions!$B$4))</f>
        <v>0</v>
      </c>
      <c r="F34" s="37" t="n">
        <f aca="false">MIN(1,(SUMIFS('Hourly Usage'!F$4:F$63,'Hourly Usage'!$A$4:$A$63,"Year 1",'Hourly Usage'!$B$4:$B$63,$A34,'Hourly Usage'!$C$4:$C$63,$B34)*Assumptions!$B$5+SUMIFS('Hourly Usage'!F$4:F$63,'Hourly Usage'!$A$4:$A$63,"Year 2",'Hourly Usage'!$B$4:$B$63,$A34,'Hourly Usage'!$C$4:$C$63,$B34)*Assumptions!$B$6+SUMIFS('Hourly Usage'!F$4:F$63,'Hourly Usage'!$A$4:$A$63,"Year 3",'Hourly Usage'!$B$4:$B$63,$A34,'Hourly Usage'!$C$4:$C$63,$B34)*Assumptions!$B$7)/SUM(Assumptions!$B$5:$B$7)*(1+Assumptions!$B$4))</f>
        <v>0.149999999999999</v>
      </c>
      <c r="G34" s="37" t="n">
        <f aca="false">MIN(1,(SUMIFS('Hourly Usage'!G$4:G$63,'Hourly Usage'!$A$4:$A$63,"Year 1",'Hourly Usage'!$B$4:$B$63,$A34,'Hourly Usage'!$C$4:$C$63,$B34)*Assumptions!$B$5+SUMIFS('Hourly Usage'!G$4:G$63,'Hourly Usage'!$A$4:$A$63,"Year 2",'Hourly Usage'!$B$4:$B$63,$A34,'Hourly Usage'!$C$4:$C$63,$B34)*Assumptions!$B$6+SUMIFS('Hourly Usage'!G$4:G$63,'Hourly Usage'!$A$4:$A$63,"Year 3",'Hourly Usage'!$B$4:$B$63,$A34,'Hourly Usage'!$C$4:$C$63,$B34)*Assumptions!$B$7)/SUM(Assumptions!$B$5:$B$7)*(1+Assumptions!$B$4))</f>
        <v>0.8</v>
      </c>
      <c r="H34" s="37" t="n">
        <f aca="false">MIN(1,(SUMIFS('Hourly Usage'!H$4:H$63,'Hourly Usage'!$A$4:$A$63,"Year 1",'Hourly Usage'!$B$4:$B$63,$A34,'Hourly Usage'!$C$4:$C$63,$B34)*Assumptions!$B$5+SUMIFS('Hourly Usage'!H$4:H$63,'Hourly Usage'!$A$4:$A$63,"Year 2",'Hourly Usage'!$B$4:$B$63,$A34,'Hourly Usage'!$C$4:$C$63,$B34)*Assumptions!$B$6+SUMIFS('Hourly Usage'!H$4:H$63,'Hourly Usage'!$A$4:$A$63,"Year 3",'Hourly Usage'!$B$4:$B$63,$A34,'Hourly Usage'!$C$4:$C$63,$B34)*Assumptions!$B$7)/SUM(Assumptions!$B$5:$B$7)*(1+Assumptions!$B$4))</f>
        <v>0.999999999999998</v>
      </c>
      <c r="I34" s="37" t="n">
        <f aca="false">MIN(1,(SUMIFS('Hourly Usage'!I$4:I$63,'Hourly Usage'!$A$4:$A$63,"Year 1",'Hourly Usage'!$B$4:$B$63,$A34,'Hourly Usage'!$C$4:$C$63,$B34)*Assumptions!$B$5+SUMIFS('Hourly Usage'!I$4:I$63,'Hourly Usage'!$A$4:$A$63,"Year 2",'Hourly Usage'!$B$4:$B$63,$A34,'Hourly Usage'!$C$4:$C$63,$B34)*Assumptions!$B$6+SUMIFS('Hourly Usage'!I$4:I$63,'Hourly Usage'!$A$4:$A$63,"Year 3",'Hourly Usage'!$B$4:$B$63,$A34,'Hourly Usage'!$C$4:$C$63,$B34)*Assumptions!$B$7)/SUM(Assumptions!$B$5:$B$7)*(1+Assumptions!$B$4))</f>
        <v>0.75</v>
      </c>
      <c r="J34" s="37" t="n">
        <f aca="false">MIN(1,(SUMIFS('Hourly Usage'!J$4:J$63,'Hourly Usage'!$A$4:$A$63,"Year 1",'Hourly Usage'!$B$4:$B$63,$A34,'Hourly Usage'!$C$4:$C$63,$B34)*Assumptions!$B$5+SUMIFS('Hourly Usage'!J$4:J$63,'Hourly Usage'!$A$4:$A$63,"Year 2",'Hourly Usage'!$B$4:$B$63,$A34,'Hourly Usage'!$C$4:$C$63,$B34)*Assumptions!$B$6+SUMIFS('Hourly Usage'!J$4:J$63,'Hourly Usage'!$A$4:$A$63,"Year 3",'Hourly Usage'!$B$4:$B$63,$A34,'Hourly Usage'!$C$4:$C$63,$B34)*Assumptions!$B$7)/SUM(Assumptions!$B$5:$B$7)*(1+Assumptions!$B$4))</f>
        <v>0</v>
      </c>
      <c r="K34" s="37" t="n">
        <f aca="false">MIN(1,(SUMIFS('Hourly Usage'!K$4:K$63,'Hourly Usage'!$A$4:$A$63,"Year 1",'Hourly Usage'!$B$4:$B$63,$A34,'Hourly Usage'!$C$4:$C$63,$B34)*Assumptions!$B$5+SUMIFS('Hourly Usage'!K$4:K$63,'Hourly Usage'!$A$4:$A$63,"Year 2",'Hourly Usage'!$B$4:$B$63,$A34,'Hourly Usage'!$C$4:$C$63,$B34)*Assumptions!$B$6+SUMIFS('Hourly Usage'!K$4:K$63,'Hourly Usage'!$A$4:$A$63,"Year 3",'Hourly Usage'!$B$4:$B$63,$A34,'Hourly Usage'!$C$4:$C$63,$B34)*Assumptions!$B$7)/SUM(Assumptions!$B$5:$B$7)*(1+Assumptions!$B$4))</f>
        <v>0</v>
      </c>
      <c r="L34" s="37" t="n">
        <f aca="false">MIN(1,(SUMIFS('Hourly Usage'!L$4:L$63,'Hourly Usage'!$A$4:$A$63,"Year 1",'Hourly Usage'!$B$4:$B$63,$A34,'Hourly Usage'!$C$4:$C$63,$B34)*Assumptions!$B$5+SUMIFS('Hourly Usage'!L$4:L$63,'Hourly Usage'!$A$4:$A$63,"Year 2",'Hourly Usage'!$B$4:$B$63,$A34,'Hourly Usage'!$C$4:$C$63,$B34)*Assumptions!$B$6+SUMIFS('Hourly Usage'!L$4:L$63,'Hourly Usage'!$A$4:$A$63,"Year 3",'Hourly Usage'!$B$4:$B$63,$A34,'Hourly Usage'!$C$4:$C$63,$B34)*Assumptions!$B$7)/SUM(Assumptions!$B$5:$B$7)*(1+Assumptions!$B$4))</f>
        <v>0</v>
      </c>
      <c r="M34" s="21" t="n">
        <f aca="false">SUM(D34:L34)</f>
        <v>2.7</v>
      </c>
      <c r="N34" s="10" t="n">
        <f aca="false">9-M34</f>
        <v>6.3</v>
      </c>
    </row>
    <row r="35" customFormat="false" ht="15" hidden="false" customHeight="false" outlineLevel="0" collapsed="false">
      <c r="A35" s="26" t="s">
        <v>45</v>
      </c>
      <c r="B35" s="26" t="s">
        <v>105</v>
      </c>
      <c r="C35" s="26" t="n">
        <f aca="false">COUNTIF(D35:L35,"&gt;="&amp;Assumptions!$B$10)</f>
        <v>1</v>
      </c>
      <c r="D35" s="37" t="n">
        <f aca="false">MIN(1,(SUMIFS('Hourly Usage'!D$4:D$63,'Hourly Usage'!$A$4:$A$63,"Year 1",'Hourly Usage'!$B$4:$B$63,$A35,'Hourly Usage'!$C$4:$C$63,$B35)*Assumptions!$B$5+SUMIFS('Hourly Usage'!D$4:D$63,'Hourly Usage'!$A$4:$A$63,"Year 2",'Hourly Usage'!$B$4:$B$63,$A35,'Hourly Usage'!$C$4:$C$63,$B35)*Assumptions!$B$6+SUMIFS('Hourly Usage'!D$4:D$63,'Hourly Usage'!$A$4:$A$63,"Year 3",'Hourly Usage'!$B$4:$B$63,$A35,'Hourly Usage'!$C$4:$C$63,$B35)*Assumptions!$B$7)/SUM(Assumptions!$B$5:$B$7)*(1+Assumptions!$B$4))</f>
        <v>0</v>
      </c>
      <c r="E35" s="37" t="n">
        <f aca="false">MIN(1,(SUMIFS('Hourly Usage'!E$4:E$63,'Hourly Usage'!$A$4:$A$63,"Year 1",'Hourly Usage'!$B$4:$B$63,$A35,'Hourly Usage'!$C$4:$C$63,$B35)*Assumptions!$B$5+SUMIFS('Hourly Usage'!E$4:E$63,'Hourly Usage'!$A$4:$A$63,"Year 2",'Hourly Usage'!$B$4:$B$63,$A35,'Hourly Usage'!$C$4:$C$63,$B35)*Assumptions!$B$6+SUMIFS('Hourly Usage'!E$4:E$63,'Hourly Usage'!$A$4:$A$63,"Year 3",'Hourly Usage'!$B$4:$B$63,$A35,'Hourly Usage'!$C$4:$C$63,$B35)*Assumptions!$B$7)/SUM(Assumptions!$B$5:$B$7)*(1+Assumptions!$B$4))</f>
        <v>0.250000000000001</v>
      </c>
      <c r="F35" s="37" t="n">
        <f aca="false">MIN(1,(SUMIFS('Hourly Usage'!F$4:F$63,'Hourly Usage'!$A$4:$A$63,"Year 1",'Hourly Usage'!$B$4:$B$63,$A35,'Hourly Usage'!$C$4:$C$63,$B35)*Assumptions!$B$5+SUMIFS('Hourly Usage'!F$4:F$63,'Hourly Usage'!$A$4:$A$63,"Year 2",'Hourly Usage'!$B$4:$B$63,$A35,'Hourly Usage'!$C$4:$C$63,$B35)*Assumptions!$B$6+SUMIFS('Hourly Usage'!F$4:F$63,'Hourly Usage'!$A$4:$A$63,"Year 3",'Hourly Usage'!$B$4:$B$63,$A35,'Hourly Usage'!$C$4:$C$63,$B35)*Assumptions!$B$7)/SUM(Assumptions!$B$5:$B$7)*(1+Assumptions!$B$4))</f>
        <v>0.5</v>
      </c>
      <c r="G35" s="37" t="n">
        <f aca="false">MIN(1,(SUMIFS('Hourly Usage'!G$4:G$63,'Hourly Usage'!$A$4:$A$63,"Year 1",'Hourly Usage'!$B$4:$B$63,$A35,'Hourly Usage'!$C$4:$C$63,$B35)*Assumptions!$B$5+SUMIFS('Hourly Usage'!G$4:G$63,'Hourly Usage'!$A$4:$A$63,"Year 2",'Hourly Usage'!$B$4:$B$63,$A35,'Hourly Usage'!$C$4:$C$63,$B35)*Assumptions!$B$6+SUMIFS('Hourly Usage'!G$4:G$63,'Hourly Usage'!$A$4:$A$63,"Year 3",'Hourly Usage'!$B$4:$B$63,$A35,'Hourly Usage'!$C$4:$C$63,$B35)*Assumptions!$B$7)/SUM(Assumptions!$B$5:$B$7)*(1+Assumptions!$B$4))</f>
        <v>0.2</v>
      </c>
      <c r="H35" s="37" t="n">
        <f aca="false">MIN(1,(SUMIFS('Hourly Usage'!H$4:H$63,'Hourly Usage'!$A$4:$A$63,"Year 1",'Hourly Usage'!$B$4:$B$63,$A35,'Hourly Usage'!$C$4:$C$63,$B35)*Assumptions!$B$5+SUMIFS('Hourly Usage'!H$4:H$63,'Hourly Usage'!$A$4:$A$63,"Year 2",'Hourly Usage'!$B$4:$B$63,$A35,'Hourly Usage'!$C$4:$C$63,$B35)*Assumptions!$B$6+SUMIFS('Hourly Usage'!H$4:H$63,'Hourly Usage'!$A$4:$A$63,"Year 3",'Hourly Usage'!$B$4:$B$63,$A35,'Hourly Usage'!$C$4:$C$63,$B35)*Assumptions!$B$7)/SUM(Assumptions!$B$5:$B$7)*(1+Assumptions!$B$4))</f>
        <v>0.2</v>
      </c>
      <c r="I35" s="37" t="n">
        <f aca="false">MIN(1,(SUMIFS('Hourly Usage'!I$4:I$63,'Hourly Usage'!$A$4:$A$63,"Year 1",'Hourly Usage'!$B$4:$B$63,$A35,'Hourly Usage'!$C$4:$C$63,$B35)*Assumptions!$B$5+SUMIFS('Hourly Usage'!I$4:I$63,'Hourly Usage'!$A$4:$A$63,"Year 2",'Hourly Usage'!$B$4:$B$63,$A35,'Hourly Usage'!$C$4:$C$63,$B35)*Assumptions!$B$6+SUMIFS('Hourly Usage'!I$4:I$63,'Hourly Usage'!$A$4:$A$63,"Year 3",'Hourly Usage'!$B$4:$B$63,$A35,'Hourly Usage'!$C$4:$C$63,$B35)*Assumptions!$B$7)/SUM(Assumptions!$B$5:$B$7)*(1+Assumptions!$B$4))</f>
        <v>0.2</v>
      </c>
      <c r="J35" s="37" t="n">
        <f aca="false">MIN(1,(SUMIFS('Hourly Usage'!J$4:J$63,'Hourly Usage'!$A$4:$A$63,"Year 1",'Hourly Usage'!$B$4:$B$63,$A35,'Hourly Usage'!$C$4:$C$63,$B35)*Assumptions!$B$5+SUMIFS('Hourly Usage'!J$4:J$63,'Hourly Usage'!$A$4:$A$63,"Year 2",'Hourly Usage'!$B$4:$B$63,$A35,'Hourly Usage'!$C$4:$C$63,$B35)*Assumptions!$B$6+SUMIFS('Hourly Usage'!J$4:J$63,'Hourly Usage'!$A$4:$A$63,"Year 3",'Hourly Usage'!$B$4:$B$63,$A35,'Hourly Usage'!$C$4:$C$63,$B35)*Assumptions!$B$7)/SUM(Assumptions!$B$5:$B$7)*(1+Assumptions!$B$4))</f>
        <v>0</v>
      </c>
      <c r="K35" s="37" t="n">
        <f aca="false">MIN(1,(SUMIFS('Hourly Usage'!K$4:K$63,'Hourly Usage'!$A$4:$A$63,"Year 1",'Hourly Usage'!$B$4:$B$63,$A35,'Hourly Usage'!$C$4:$C$63,$B35)*Assumptions!$B$5+SUMIFS('Hourly Usage'!K$4:K$63,'Hourly Usage'!$A$4:$A$63,"Year 2",'Hourly Usage'!$B$4:$B$63,$A35,'Hourly Usage'!$C$4:$C$63,$B35)*Assumptions!$B$6+SUMIFS('Hourly Usage'!K$4:K$63,'Hourly Usage'!$A$4:$A$63,"Year 3",'Hourly Usage'!$B$4:$B$63,$A35,'Hourly Usage'!$C$4:$C$63,$B35)*Assumptions!$B$7)/SUM(Assumptions!$B$5:$B$7)*(1+Assumptions!$B$4))</f>
        <v>0.399999999999996</v>
      </c>
      <c r="L35" s="37" t="n">
        <f aca="false">MIN(1,(SUMIFS('Hourly Usage'!L$4:L$63,'Hourly Usage'!$A$4:$A$63,"Year 1",'Hourly Usage'!$B$4:$B$63,$A35,'Hourly Usage'!$C$4:$C$63,$B35)*Assumptions!$B$5+SUMIFS('Hourly Usage'!L$4:L$63,'Hourly Usage'!$A$4:$A$63,"Year 2",'Hourly Usage'!$B$4:$B$63,$A35,'Hourly Usage'!$C$4:$C$63,$B35)*Assumptions!$B$6+SUMIFS('Hourly Usage'!L$4:L$63,'Hourly Usage'!$A$4:$A$63,"Year 3",'Hourly Usage'!$B$4:$B$63,$A35,'Hourly Usage'!$C$4:$C$63,$B35)*Assumptions!$B$7)/SUM(Assumptions!$B$5:$B$7)*(1+Assumptions!$B$4))</f>
        <v>0.8</v>
      </c>
      <c r="M35" s="21" t="n">
        <f aca="false">SUM(D35:L35)</f>
        <v>2.55</v>
      </c>
      <c r="N35" s="10" t="n">
        <f aca="false">9-M35</f>
        <v>6.45</v>
      </c>
    </row>
    <row r="36" customFormat="false" ht="15" hidden="false" customHeight="false" outlineLevel="0" collapsed="false">
      <c r="A36" s="26" t="s">
        <v>45</v>
      </c>
      <c r="B36" s="26" t="s">
        <v>117</v>
      </c>
      <c r="C36" s="26" t="n">
        <f aca="false">COUNTIF(D36:L36,"&gt;="&amp;Assumptions!$B$10)</f>
        <v>0</v>
      </c>
      <c r="D36" s="37" t="n">
        <f aca="false">MIN(1,(SUMIFS('Hourly Usage'!D$4:D$63,'Hourly Usage'!$A$4:$A$63,"Year 1",'Hourly Usage'!$B$4:$B$63,$A36,'Hourly Usage'!$C$4:$C$63,$B36)*Assumptions!$B$5+SUMIFS('Hourly Usage'!D$4:D$63,'Hourly Usage'!$A$4:$A$63,"Year 2",'Hourly Usage'!$B$4:$B$63,$A36,'Hourly Usage'!$C$4:$C$63,$B36)*Assumptions!$B$6+SUMIFS('Hourly Usage'!D$4:D$63,'Hourly Usage'!$A$4:$A$63,"Year 3",'Hourly Usage'!$B$4:$B$63,$A36,'Hourly Usage'!$C$4:$C$63,$B36)*Assumptions!$B$7)/SUM(Assumptions!$B$5:$B$7)*(1+Assumptions!$B$4))</f>
        <v>0</v>
      </c>
      <c r="E36" s="37" t="n">
        <f aca="false">MIN(1,(SUMIFS('Hourly Usage'!E$4:E$63,'Hourly Usage'!$A$4:$A$63,"Year 1",'Hourly Usage'!$B$4:$B$63,$A36,'Hourly Usage'!$C$4:$C$63,$B36)*Assumptions!$B$5+SUMIFS('Hourly Usage'!E$4:E$63,'Hourly Usage'!$A$4:$A$63,"Year 2",'Hourly Usage'!$B$4:$B$63,$A36,'Hourly Usage'!$C$4:$C$63,$B36)*Assumptions!$B$6+SUMIFS('Hourly Usage'!E$4:E$63,'Hourly Usage'!$A$4:$A$63,"Year 3",'Hourly Usage'!$B$4:$B$63,$A36,'Hourly Usage'!$C$4:$C$63,$B36)*Assumptions!$B$7)/SUM(Assumptions!$B$5:$B$7)*(1+Assumptions!$B$4))</f>
        <v>0</v>
      </c>
      <c r="F36" s="37" t="n">
        <f aca="false">MIN(1,(SUMIFS('Hourly Usage'!F$4:F$63,'Hourly Usage'!$A$4:$A$63,"Year 1",'Hourly Usage'!$B$4:$B$63,$A36,'Hourly Usage'!$C$4:$C$63,$B36)*Assumptions!$B$5+SUMIFS('Hourly Usage'!F$4:F$63,'Hourly Usage'!$A$4:$A$63,"Year 2",'Hourly Usage'!$B$4:$B$63,$A36,'Hourly Usage'!$C$4:$C$63,$B36)*Assumptions!$B$6+SUMIFS('Hourly Usage'!F$4:F$63,'Hourly Usage'!$A$4:$A$63,"Year 3",'Hourly Usage'!$B$4:$B$63,$A36,'Hourly Usage'!$C$4:$C$63,$B36)*Assumptions!$B$7)/SUM(Assumptions!$B$5:$B$7)*(1+Assumptions!$B$4))</f>
        <v>0</v>
      </c>
      <c r="G36" s="37" t="n">
        <f aca="false">MIN(1,(SUMIFS('Hourly Usage'!G$4:G$63,'Hourly Usage'!$A$4:$A$63,"Year 1",'Hourly Usage'!$B$4:$B$63,$A36,'Hourly Usage'!$C$4:$C$63,$B36)*Assumptions!$B$5+SUMIFS('Hourly Usage'!G$4:G$63,'Hourly Usage'!$A$4:$A$63,"Year 2",'Hourly Usage'!$B$4:$B$63,$A36,'Hourly Usage'!$C$4:$C$63,$B36)*Assumptions!$B$6+SUMIFS('Hourly Usage'!G$4:G$63,'Hourly Usage'!$A$4:$A$63,"Year 3",'Hourly Usage'!$B$4:$B$63,$A36,'Hourly Usage'!$C$4:$C$63,$B36)*Assumptions!$B$7)/SUM(Assumptions!$B$5:$B$7)*(1+Assumptions!$B$4))</f>
        <v>0</v>
      </c>
      <c r="H36" s="37" t="n">
        <f aca="false">MIN(1,(SUMIFS('Hourly Usage'!H$4:H$63,'Hourly Usage'!$A$4:$A$63,"Year 1",'Hourly Usage'!$B$4:$B$63,$A36,'Hourly Usage'!$C$4:$C$63,$B36)*Assumptions!$B$5+SUMIFS('Hourly Usage'!H$4:H$63,'Hourly Usage'!$A$4:$A$63,"Year 2",'Hourly Usage'!$B$4:$B$63,$A36,'Hourly Usage'!$C$4:$C$63,$B36)*Assumptions!$B$6+SUMIFS('Hourly Usage'!H$4:H$63,'Hourly Usage'!$A$4:$A$63,"Year 3",'Hourly Usage'!$B$4:$B$63,$A36,'Hourly Usage'!$C$4:$C$63,$B36)*Assumptions!$B$7)/SUM(Assumptions!$B$5:$B$7)*(1+Assumptions!$B$4))</f>
        <v>0.499999999999998</v>
      </c>
      <c r="I36" s="37" t="n">
        <f aca="false">MIN(1,(SUMIFS('Hourly Usage'!I$4:I$63,'Hourly Usage'!$A$4:$A$63,"Year 1",'Hourly Usage'!$B$4:$B$63,$A36,'Hourly Usage'!$C$4:$C$63,$B36)*Assumptions!$B$5+SUMIFS('Hourly Usage'!I$4:I$63,'Hourly Usage'!$A$4:$A$63,"Year 2",'Hourly Usage'!$B$4:$B$63,$A36,'Hourly Usage'!$C$4:$C$63,$B36)*Assumptions!$B$6+SUMIFS('Hourly Usage'!I$4:I$63,'Hourly Usage'!$A$4:$A$63,"Year 3",'Hourly Usage'!$B$4:$B$63,$A36,'Hourly Usage'!$C$4:$C$63,$B36)*Assumptions!$B$7)/SUM(Assumptions!$B$5:$B$7)*(1+Assumptions!$B$4))</f>
        <v>0.250000000000002</v>
      </c>
      <c r="J36" s="37" t="n">
        <f aca="false">MIN(1,(SUMIFS('Hourly Usage'!J$4:J$63,'Hourly Usage'!$A$4:$A$63,"Year 1",'Hourly Usage'!$B$4:$B$63,$A36,'Hourly Usage'!$C$4:$C$63,$B36)*Assumptions!$B$5+SUMIFS('Hourly Usage'!J$4:J$63,'Hourly Usage'!$A$4:$A$63,"Year 2",'Hourly Usage'!$B$4:$B$63,$A36,'Hourly Usage'!$C$4:$C$63,$B36)*Assumptions!$B$6+SUMIFS('Hourly Usage'!J$4:J$63,'Hourly Usage'!$A$4:$A$63,"Year 3",'Hourly Usage'!$B$4:$B$63,$A36,'Hourly Usage'!$C$4:$C$63,$B36)*Assumptions!$B$7)/SUM(Assumptions!$B$5:$B$7)*(1+Assumptions!$B$4))</f>
        <v>0.3</v>
      </c>
      <c r="K36" s="37" t="n">
        <f aca="false">MIN(1,(SUMIFS('Hourly Usage'!K$4:K$63,'Hourly Usage'!$A$4:$A$63,"Year 1",'Hourly Usage'!$B$4:$B$63,$A36,'Hourly Usage'!$C$4:$C$63,$B36)*Assumptions!$B$5+SUMIFS('Hourly Usage'!K$4:K$63,'Hourly Usage'!$A$4:$A$63,"Year 2",'Hourly Usage'!$B$4:$B$63,$A36,'Hourly Usage'!$C$4:$C$63,$B36)*Assumptions!$B$6+SUMIFS('Hourly Usage'!K$4:K$63,'Hourly Usage'!$A$4:$A$63,"Year 3",'Hourly Usage'!$B$4:$B$63,$A36,'Hourly Usage'!$C$4:$C$63,$B36)*Assumptions!$B$7)/SUM(Assumptions!$B$5:$B$7)*(1+Assumptions!$B$4))</f>
        <v>0.15</v>
      </c>
      <c r="L36" s="37" t="n">
        <f aca="false">MIN(1,(SUMIFS('Hourly Usage'!L$4:L$63,'Hourly Usage'!$A$4:$A$63,"Year 1",'Hourly Usage'!$B$4:$B$63,$A36,'Hourly Usage'!$C$4:$C$63,$B36)*Assumptions!$B$5+SUMIFS('Hourly Usage'!L$4:L$63,'Hourly Usage'!$A$4:$A$63,"Year 2",'Hourly Usage'!$B$4:$B$63,$A36,'Hourly Usage'!$C$4:$C$63,$B36)*Assumptions!$B$6+SUMIFS('Hourly Usage'!L$4:L$63,'Hourly Usage'!$A$4:$A$63,"Year 3",'Hourly Usage'!$B$4:$B$63,$A36,'Hourly Usage'!$C$4:$C$63,$B36)*Assumptions!$B$7)/SUM(Assumptions!$B$5:$B$7)*(1+Assumptions!$B$4))</f>
        <v>0.2</v>
      </c>
      <c r="M36" s="21" t="n">
        <f aca="false">SUM(D36:L36)</f>
        <v>1.4</v>
      </c>
      <c r="N36" s="10" t="n">
        <f aca="false">9-M36</f>
        <v>7.6</v>
      </c>
    </row>
    <row r="37" customFormat="false" ht="15" hidden="false" customHeight="false" outlineLevel="0" collapsed="false">
      <c r="A37" s="26" t="s">
        <v>45</v>
      </c>
      <c r="B37" s="26" t="s">
        <v>118</v>
      </c>
      <c r="C37" s="26" t="n">
        <f aca="false">COUNTIF(D37:L37,"&gt;="&amp;Assumptions!$B$10)</f>
        <v>2</v>
      </c>
      <c r="D37" s="37" t="n">
        <f aca="false">MIN(1,(SUMIFS('Hourly Usage'!D$4:D$63,'Hourly Usage'!$A$4:$A$63,"Year 1",'Hourly Usage'!$B$4:$B$63,$A37,'Hourly Usage'!$C$4:$C$63,$B37)*Assumptions!$B$5+SUMIFS('Hourly Usage'!D$4:D$63,'Hourly Usage'!$A$4:$A$63,"Year 2",'Hourly Usage'!$B$4:$B$63,$A37,'Hourly Usage'!$C$4:$C$63,$B37)*Assumptions!$B$6+SUMIFS('Hourly Usage'!D$4:D$63,'Hourly Usage'!$A$4:$A$63,"Year 3",'Hourly Usage'!$B$4:$B$63,$A37,'Hourly Usage'!$C$4:$C$63,$B37)*Assumptions!$B$7)/SUM(Assumptions!$B$5:$B$7)*(1+Assumptions!$B$4))</f>
        <v>0</v>
      </c>
      <c r="E37" s="37" t="n">
        <f aca="false">MIN(1,(SUMIFS('Hourly Usage'!E$4:E$63,'Hourly Usage'!$A$4:$A$63,"Year 1",'Hourly Usage'!$B$4:$B$63,$A37,'Hourly Usage'!$C$4:$C$63,$B37)*Assumptions!$B$5+SUMIFS('Hourly Usage'!E$4:E$63,'Hourly Usage'!$A$4:$A$63,"Year 2",'Hourly Usage'!$B$4:$B$63,$A37,'Hourly Usage'!$C$4:$C$63,$B37)*Assumptions!$B$6+SUMIFS('Hourly Usage'!E$4:E$63,'Hourly Usage'!$A$4:$A$63,"Year 3",'Hourly Usage'!$B$4:$B$63,$A37,'Hourly Usage'!$C$4:$C$63,$B37)*Assumptions!$B$7)/SUM(Assumptions!$B$5:$B$7)*(1+Assumptions!$B$4))</f>
        <v>0.8</v>
      </c>
      <c r="F37" s="37" t="n">
        <f aca="false">MIN(1,(SUMIFS('Hourly Usage'!F$4:F$63,'Hourly Usage'!$A$4:$A$63,"Year 1",'Hourly Usage'!$B$4:$B$63,$A37,'Hourly Usage'!$C$4:$C$63,$B37)*Assumptions!$B$5+SUMIFS('Hourly Usage'!F$4:F$63,'Hourly Usage'!$A$4:$A$63,"Year 2",'Hourly Usage'!$B$4:$B$63,$A37,'Hourly Usage'!$C$4:$C$63,$B37)*Assumptions!$B$6+SUMIFS('Hourly Usage'!F$4:F$63,'Hourly Usage'!$A$4:$A$63,"Year 3",'Hourly Usage'!$B$4:$B$63,$A37,'Hourly Usage'!$C$4:$C$63,$B37)*Assumptions!$B$7)/SUM(Assumptions!$B$5:$B$7)*(1+Assumptions!$B$4))</f>
        <v>0.799999999999998</v>
      </c>
      <c r="G37" s="37" t="n">
        <f aca="false">MIN(1,(SUMIFS('Hourly Usage'!G$4:G$63,'Hourly Usage'!$A$4:$A$63,"Year 1",'Hourly Usage'!$B$4:$B$63,$A37,'Hourly Usage'!$C$4:$C$63,$B37)*Assumptions!$B$5+SUMIFS('Hourly Usage'!G$4:G$63,'Hourly Usage'!$A$4:$A$63,"Year 2",'Hourly Usage'!$B$4:$B$63,$A37,'Hourly Usage'!$C$4:$C$63,$B37)*Assumptions!$B$6+SUMIFS('Hourly Usage'!G$4:G$63,'Hourly Usage'!$A$4:$A$63,"Year 3",'Hourly Usage'!$B$4:$B$63,$A37,'Hourly Usage'!$C$4:$C$63,$B37)*Assumptions!$B$7)/SUM(Assumptions!$B$5:$B$7)*(1+Assumptions!$B$4))</f>
        <v>0.400000000000003</v>
      </c>
      <c r="H37" s="37" t="n">
        <f aca="false">MIN(1,(SUMIFS('Hourly Usage'!H$4:H$63,'Hourly Usage'!$A$4:$A$63,"Year 1",'Hourly Usage'!$B$4:$B$63,$A37,'Hourly Usage'!$C$4:$C$63,$B37)*Assumptions!$B$5+SUMIFS('Hourly Usage'!H$4:H$63,'Hourly Usage'!$A$4:$A$63,"Year 2",'Hourly Usage'!$B$4:$B$63,$A37,'Hourly Usage'!$C$4:$C$63,$B37)*Assumptions!$B$6+SUMIFS('Hourly Usage'!H$4:H$63,'Hourly Usage'!$A$4:$A$63,"Year 3",'Hourly Usage'!$B$4:$B$63,$A37,'Hourly Usage'!$C$4:$C$63,$B37)*Assumptions!$B$7)/SUM(Assumptions!$B$5:$B$7)*(1+Assumptions!$B$4))</f>
        <v>0.3</v>
      </c>
      <c r="I37" s="37" t="n">
        <f aca="false">MIN(1,(SUMIFS('Hourly Usage'!I$4:I$63,'Hourly Usage'!$A$4:$A$63,"Year 1",'Hourly Usage'!$B$4:$B$63,$A37,'Hourly Usage'!$C$4:$C$63,$B37)*Assumptions!$B$5+SUMIFS('Hourly Usage'!I$4:I$63,'Hourly Usage'!$A$4:$A$63,"Year 2",'Hourly Usage'!$B$4:$B$63,$A37,'Hourly Usage'!$C$4:$C$63,$B37)*Assumptions!$B$6+SUMIFS('Hourly Usage'!I$4:I$63,'Hourly Usage'!$A$4:$A$63,"Year 3",'Hourly Usage'!$B$4:$B$63,$A37,'Hourly Usage'!$C$4:$C$63,$B37)*Assumptions!$B$7)/SUM(Assumptions!$B$5:$B$7)*(1+Assumptions!$B$4))</f>
        <v>0.3</v>
      </c>
      <c r="J37" s="37" t="n">
        <f aca="false">MIN(1,(SUMIFS('Hourly Usage'!J$4:J$63,'Hourly Usage'!$A$4:$A$63,"Year 1",'Hourly Usage'!$B$4:$B$63,$A37,'Hourly Usage'!$C$4:$C$63,$B37)*Assumptions!$B$5+SUMIFS('Hourly Usage'!J$4:J$63,'Hourly Usage'!$A$4:$A$63,"Year 2",'Hourly Usage'!$B$4:$B$63,$A37,'Hourly Usage'!$C$4:$C$63,$B37)*Assumptions!$B$6+SUMIFS('Hourly Usage'!J$4:J$63,'Hourly Usage'!$A$4:$A$63,"Year 3",'Hourly Usage'!$B$4:$B$63,$A37,'Hourly Usage'!$C$4:$C$63,$B37)*Assumptions!$B$7)/SUM(Assumptions!$B$5:$B$7)*(1+Assumptions!$B$4))</f>
        <v>0.15</v>
      </c>
      <c r="K37" s="37" t="n">
        <f aca="false">MIN(1,(SUMIFS('Hourly Usage'!K$4:K$63,'Hourly Usage'!$A$4:$A$63,"Year 1",'Hourly Usage'!$B$4:$B$63,$A37,'Hourly Usage'!$C$4:$C$63,$B37)*Assumptions!$B$5+SUMIFS('Hourly Usage'!K$4:K$63,'Hourly Usage'!$A$4:$A$63,"Year 2",'Hourly Usage'!$B$4:$B$63,$A37,'Hourly Usage'!$C$4:$C$63,$B37)*Assumptions!$B$6+SUMIFS('Hourly Usage'!K$4:K$63,'Hourly Usage'!$A$4:$A$63,"Year 3",'Hourly Usage'!$B$4:$B$63,$A37,'Hourly Usage'!$C$4:$C$63,$B37)*Assumptions!$B$7)/SUM(Assumptions!$B$5:$B$7)*(1+Assumptions!$B$4))</f>
        <v>0.3</v>
      </c>
      <c r="L37" s="37" t="n">
        <f aca="false">MIN(1,(SUMIFS('Hourly Usage'!L$4:L$63,'Hourly Usage'!$A$4:$A$63,"Year 1",'Hourly Usage'!$B$4:$B$63,$A37,'Hourly Usage'!$C$4:$C$63,$B37)*Assumptions!$B$5+SUMIFS('Hourly Usage'!L$4:L$63,'Hourly Usage'!$A$4:$A$63,"Year 2",'Hourly Usage'!$B$4:$B$63,$A37,'Hourly Usage'!$C$4:$C$63,$B37)*Assumptions!$B$6+SUMIFS('Hourly Usage'!L$4:L$63,'Hourly Usage'!$A$4:$A$63,"Year 3",'Hourly Usage'!$B$4:$B$63,$A37,'Hourly Usage'!$C$4:$C$63,$B37)*Assumptions!$B$7)/SUM(Assumptions!$B$5:$B$7)*(1+Assumptions!$B$4))</f>
        <v>0</v>
      </c>
      <c r="M37" s="21" t="n">
        <f aca="false">SUM(D37:L37)</f>
        <v>3.05</v>
      </c>
      <c r="N37" s="10" t="n">
        <f aca="false">9-M37</f>
        <v>5.95</v>
      </c>
    </row>
    <row r="38" customFormat="false" ht="15" hidden="false" customHeight="false" outlineLevel="0" collapsed="false">
      <c r="B38" s="3" t="s">
        <v>226</v>
      </c>
      <c r="C38" s="3" t="n">
        <f aca="false">SUM(C33:C37)</f>
        <v>6</v>
      </c>
      <c r="D38" s="41" t="n">
        <f aca="false">AVERAGE(D33:D37)</f>
        <v>0</v>
      </c>
      <c r="E38" s="41" t="n">
        <f aca="false">AVERAGE(E33:E37)</f>
        <v>0.21</v>
      </c>
      <c r="F38" s="41" t="n">
        <f aca="false">AVERAGE(F33:F37)</f>
        <v>0.29</v>
      </c>
      <c r="G38" s="41" t="n">
        <f aca="false">AVERAGE(G33:G37)</f>
        <v>0.330000000000001</v>
      </c>
      <c r="H38" s="41" t="n">
        <f aca="false">AVERAGE(H33:H37)</f>
        <v>0.509999999999999</v>
      </c>
      <c r="I38" s="41" t="n">
        <f aca="false">AVERAGE(I33:I37)</f>
        <v>0.34</v>
      </c>
      <c r="J38" s="41" t="n">
        <f aca="false">AVERAGE(J33:J37)</f>
        <v>0.11</v>
      </c>
      <c r="K38" s="41" t="n">
        <f aca="false">AVERAGE(K33:K37)</f>
        <v>0.199999999999999</v>
      </c>
      <c r="L38" s="41" t="n">
        <f aca="false">AVERAGE(L33:L37)</f>
        <v>0.26</v>
      </c>
      <c r="M38" s="38" t="n">
        <f aca="false">SUM(M33:M37)</f>
        <v>11.25</v>
      </c>
      <c r="N38" s="38" t="n">
        <f aca="false">SUM(N33:N37)</f>
        <v>33.75</v>
      </c>
    </row>
  </sheetData>
  <conditionalFormatting sqref="D6:L10">
    <cfRule type="colorScale" priority="2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D15:L19">
    <cfRule type="colorScale" priority="3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D24:L28">
    <cfRule type="colorScale" priority="4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D33:L37">
    <cfRule type="colorScale" priority="5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12" min="4" style="0" width="10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7" t="s">
        <v>228</v>
      </c>
    </row>
    <row r="3" customFormat="false" ht="15" hidden="false" customHeight="false" outlineLevel="0" collapsed="false">
      <c r="D3" s="35" t="n">
        <v>8</v>
      </c>
      <c r="E3" s="35" t="n">
        <v>9</v>
      </c>
      <c r="F3" s="35" t="n">
        <v>10</v>
      </c>
      <c r="G3" s="35" t="n">
        <v>11</v>
      </c>
      <c r="H3" s="35" t="n">
        <v>12</v>
      </c>
      <c r="I3" s="35" t="n">
        <v>13</v>
      </c>
      <c r="J3" s="35" t="n">
        <v>14</v>
      </c>
      <c r="K3" s="35" t="n">
        <v>15</v>
      </c>
      <c r="L3" s="35" t="n">
        <v>16</v>
      </c>
    </row>
    <row r="4" customFormat="false" ht="30" hidden="false" customHeight="true" outlineLevel="0" collapsed="false">
      <c r="A4" s="8" t="s">
        <v>31</v>
      </c>
      <c r="B4" s="8" t="s">
        <v>58</v>
      </c>
      <c r="C4" s="8" t="s">
        <v>229</v>
      </c>
      <c r="D4" s="8" t="s">
        <v>71</v>
      </c>
      <c r="E4" s="8" t="s">
        <v>74</v>
      </c>
      <c r="F4" s="8" t="s">
        <v>76</v>
      </c>
      <c r="G4" s="8" t="s">
        <v>78</v>
      </c>
      <c r="H4" s="8" t="s">
        <v>79</v>
      </c>
      <c r="I4" s="8" t="s">
        <v>81</v>
      </c>
      <c r="J4" s="8" t="s">
        <v>85</v>
      </c>
      <c r="K4" s="8" t="s">
        <v>88</v>
      </c>
      <c r="L4" s="8" t="s">
        <v>91</v>
      </c>
      <c r="M4" s="8" t="s">
        <v>225</v>
      </c>
    </row>
    <row r="5" customFormat="false" ht="15" hidden="false" customHeight="false" outlineLevel="0" collapsed="false">
      <c r="A5" s="26" t="s">
        <v>42</v>
      </c>
      <c r="B5" s="26" t="s">
        <v>70</v>
      </c>
      <c r="C5" s="26" t="s">
        <v>135</v>
      </c>
      <c r="D5" s="37" t="n">
        <f aca="false">MIN(1,SUMPRODUCT(('Booking Log'!$A$4:$A$400=$C5)*('Booking Log'!$B$4:$B$400=$A5)*('Booking Log'!$D$4:$D$400=$B5)*((((('Booking Log'!$G$4:$G$400+((D$3+1)/24)-ABS('Booking Log'!$G$4:$G$400-((D$3+1)/24)))/2)-(('Booking Log'!$F$4:$F$400+(D$3/24)+ABS('Booking Log'!$F$4:$F$400-(D$3/24)))/2))+ABS(((('Booking Log'!$G$4:$G$400+((D$3+1)/24)-ABS('Booking Log'!$G$4:$G$400-((D$3+1)/24)))/2)-(('Booking Log'!$F$4:$F$400+(D$3/24)+ABS('Booking Log'!$F$4:$F$400-(D$3/24)))/2))))/2))*24/Assumptions!$B$9)</f>
        <v>0</v>
      </c>
      <c r="E5" s="37" t="n">
        <f aca="false">MIN(1,SUMPRODUCT(('Booking Log'!$A$4:$A$400=$C5)*('Booking Log'!$B$4:$B$400=$A5)*('Booking Log'!$D$4:$D$400=$B5)*((((('Booking Log'!$G$4:$G$400+((E$3+1)/24)-ABS('Booking Log'!$G$4:$G$400-((E$3+1)/24)))/2)-(('Booking Log'!$F$4:$F$400+(E$3/24)+ABS('Booking Log'!$F$4:$F$400-(E$3/24)))/2))+ABS(((('Booking Log'!$G$4:$G$400+((E$3+1)/24)-ABS('Booking Log'!$G$4:$G$400-((E$3+1)/24)))/2)-(('Booking Log'!$F$4:$F$400+(E$3/24)+ABS('Booking Log'!$F$4:$F$400-(E$3/24)))/2))))/2))*24/Assumptions!$B$9)</f>
        <v>0</v>
      </c>
      <c r="F5" s="37" t="n">
        <f aca="false">MIN(1,SUMPRODUCT(('Booking Log'!$A$4:$A$400=$C5)*('Booking Log'!$B$4:$B$400=$A5)*('Booking Log'!$D$4:$D$400=$B5)*((((('Booking Log'!$G$4:$G$400+((F$3+1)/24)-ABS('Booking Log'!$G$4:$G$400-((F$3+1)/24)))/2)-(('Booking Log'!$F$4:$F$400+(F$3/24)+ABS('Booking Log'!$F$4:$F$400-(F$3/24)))/2))+ABS(((('Booking Log'!$G$4:$G$400+((F$3+1)/24)-ABS('Booking Log'!$G$4:$G$400-((F$3+1)/24)))/2)-(('Booking Log'!$F$4:$F$400+(F$3/24)+ABS('Booking Log'!$F$4:$F$400-(F$3/24)))/2))))/2))*24/Assumptions!$B$9)</f>
        <v>0</v>
      </c>
      <c r="G5" s="37" t="n">
        <f aca="false">MIN(1,SUMPRODUCT(('Booking Log'!$A$4:$A$400=$C5)*('Booking Log'!$B$4:$B$400=$A5)*('Booking Log'!$D$4:$D$400=$B5)*((((('Booking Log'!$G$4:$G$400+((G$3+1)/24)-ABS('Booking Log'!$G$4:$G$400-((G$3+1)/24)))/2)-(('Booking Log'!$F$4:$F$400+(G$3/24)+ABS('Booking Log'!$F$4:$F$400-(G$3/24)))/2))+ABS(((('Booking Log'!$G$4:$G$400+((G$3+1)/24)-ABS('Booking Log'!$G$4:$G$400-((G$3+1)/24)))/2)-(('Booking Log'!$F$4:$F$400+(G$3/24)+ABS('Booking Log'!$F$4:$F$400-(G$3/24)))/2))))/2))*24/Assumptions!$B$9)</f>
        <v>0</v>
      </c>
      <c r="H5" s="37" t="n">
        <f aca="false">MIN(1,SUMPRODUCT(('Booking Log'!$A$4:$A$400=$C5)*('Booking Log'!$B$4:$B$400=$A5)*('Booking Log'!$D$4:$D$400=$B5)*((((('Booking Log'!$G$4:$G$400+((H$3+1)/24)-ABS('Booking Log'!$G$4:$G$400-((H$3+1)/24)))/2)-(('Booking Log'!$F$4:$F$400+(H$3/24)+ABS('Booking Log'!$F$4:$F$400-(H$3/24)))/2))+ABS(((('Booking Log'!$G$4:$G$400+((H$3+1)/24)-ABS('Booking Log'!$G$4:$G$400-((H$3+1)/24)))/2)-(('Booking Log'!$F$4:$F$400+(H$3/24)+ABS('Booking Log'!$F$4:$F$400-(H$3/24)))/2))))/2))*24/Assumptions!$B$9)</f>
        <v>0.999999999999996</v>
      </c>
      <c r="I5" s="37" t="n">
        <f aca="false">MIN(1,SUMPRODUCT(('Booking Log'!$A$4:$A$400=$C5)*('Booking Log'!$B$4:$B$400=$A5)*('Booking Log'!$D$4:$D$400=$B5)*((((('Booking Log'!$G$4:$G$400+((I$3+1)/24)-ABS('Booking Log'!$G$4:$G$400-((I$3+1)/24)))/2)-(('Booking Log'!$F$4:$F$400+(I$3/24)+ABS('Booking Log'!$F$4:$F$400-(I$3/24)))/2))+ABS(((('Booking Log'!$G$4:$G$400+((I$3+1)/24)-ABS('Booking Log'!$G$4:$G$400-((I$3+1)/24)))/2)-(('Booking Log'!$F$4:$F$400+(I$3/24)+ABS('Booking Log'!$F$4:$F$400-(I$3/24)))/2))))/2))*24/Assumptions!$B$9)</f>
        <v>0.500000000000004</v>
      </c>
      <c r="J5" s="37" t="n">
        <f aca="false">MIN(1,SUMPRODUCT(('Booking Log'!$A$4:$A$400=$C5)*('Booking Log'!$B$4:$B$400=$A5)*('Booking Log'!$D$4:$D$400=$B5)*((((('Booking Log'!$G$4:$G$400+((J$3+1)/24)-ABS('Booking Log'!$G$4:$G$400-((J$3+1)/24)))/2)-(('Booking Log'!$F$4:$F$400+(J$3/24)+ABS('Booking Log'!$F$4:$F$400-(J$3/24)))/2))+ABS(((('Booking Log'!$G$4:$G$400+((J$3+1)/24)-ABS('Booking Log'!$G$4:$G$400-((J$3+1)/24)))/2)-(('Booking Log'!$F$4:$F$400+(J$3/24)+ABS('Booking Log'!$F$4:$F$400-(J$3/24)))/2))))/2))*24/Assumptions!$B$9)</f>
        <v>0</v>
      </c>
      <c r="K5" s="37" t="n">
        <f aca="false">MIN(1,SUMPRODUCT(('Booking Log'!$A$4:$A$400=$C5)*('Booking Log'!$B$4:$B$400=$A5)*('Booking Log'!$D$4:$D$400=$B5)*((((('Booking Log'!$G$4:$G$400+((K$3+1)/24)-ABS('Booking Log'!$G$4:$G$400-((K$3+1)/24)))/2)-(('Booking Log'!$F$4:$F$400+(K$3/24)+ABS('Booking Log'!$F$4:$F$400-(K$3/24)))/2))+ABS(((('Booking Log'!$G$4:$G$400+((K$3+1)/24)-ABS('Booking Log'!$G$4:$G$400-((K$3+1)/24)))/2)-(('Booking Log'!$F$4:$F$400+(K$3/24)+ABS('Booking Log'!$F$4:$F$400-(K$3/24)))/2))))/2))*24/Assumptions!$B$9)</f>
        <v>0.499999999999996</v>
      </c>
      <c r="L5" s="37" t="n">
        <f aca="false">MIN(1,SUMPRODUCT(('Booking Log'!$A$4:$A$400=$C5)*('Booking Log'!$B$4:$B$400=$A5)*('Booking Log'!$D$4:$D$400=$B5)*((((('Booking Log'!$G$4:$G$400+((L$3+1)/24)-ABS('Booking Log'!$G$4:$G$400-((L$3+1)/24)))/2)-(('Booking Log'!$F$4:$F$400+(L$3/24)+ABS('Booking Log'!$F$4:$F$400-(L$3/24)))/2))+ABS(((('Booking Log'!$G$4:$G$400+((L$3+1)/24)-ABS('Booking Log'!$G$4:$G$400-((L$3+1)/24)))/2)-(('Booking Log'!$F$4:$F$400+(L$3/24)+ABS('Booking Log'!$F$4:$F$400-(L$3/24)))/2))))/2))*24/Assumptions!$B$9)</f>
        <v>1</v>
      </c>
      <c r="M5" s="21" t="n">
        <f aca="false">SUM(D5:L5)</f>
        <v>3</v>
      </c>
    </row>
    <row r="6" customFormat="false" ht="15" hidden="false" customHeight="false" outlineLevel="0" collapsed="false">
      <c r="A6" s="26" t="s">
        <v>42</v>
      </c>
      <c r="B6" s="26" t="s">
        <v>94</v>
      </c>
      <c r="C6" s="26" t="s">
        <v>135</v>
      </c>
      <c r="D6" s="37" t="n">
        <f aca="false">MIN(1,SUMPRODUCT(('Booking Log'!$A$4:$A$400=$C6)*('Booking Log'!$B$4:$B$400=$A6)*('Booking Log'!$D$4:$D$400=$B6)*((((('Booking Log'!$G$4:$G$400+((D$3+1)/24)-ABS('Booking Log'!$G$4:$G$400-((D$3+1)/24)))/2)-(('Booking Log'!$F$4:$F$400+(D$3/24)+ABS('Booking Log'!$F$4:$F$400-(D$3/24)))/2))+ABS(((('Booking Log'!$G$4:$G$400+((D$3+1)/24)-ABS('Booking Log'!$G$4:$G$400-((D$3+1)/24)))/2)-(('Booking Log'!$F$4:$F$400+(D$3/24)+ABS('Booking Log'!$F$4:$F$400-(D$3/24)))/2))))/2))*24/Assumptions!$B$9)</f>
        <v>0</v>
      </c>
      <c r="E6" s="37" t="n">
        <f aca="false">MIN(1,SUMPRODUCT(('Booking Log'!$A$4:$A$400=$C6)*('Booking Log'!$B$4:$B$400=$A6)*('Booking Log'!$D$4:$D$400=$B6)*((((('Booking Log'!$G$4:$G$400+((E$3+1)/24)-ABS('Booking Log'!$G$4:$G$400-((E$3+1)/24)))/2)-(('Booking Log'!$F$4:$F$400+(E$3/24)+ABS('Booking Log'!$F$4:$F$400-(E$3/24)))/2))+ABS(((('Booking Log'!$G$4:$G$400+((E$3+1)/24)-ABS('Booking Log'!$G$4:$G$400-((E$3+1)/24)))/2)-(('Booking Log'!$F$4:$F$400+(E$3/24)+ABS('Booking Log'!$F$4:$F$400-(E$3/24)))/2))))/2))*24/Assumptions!$B$9)</f>
        <v>0</v>
      </c>
      <c r="F6" s="37" t="n">
        <f aca="false">MIN(1,SUMPRODUCT(('Booking Log'!$A$4:$A$400=$C6)*('Booking Log'!$B$4:$B$400=$A6)*('Booking Log'!$D$4:$D$400=$B6)*((((('Booking Log'!$G$4:$G$400+((F$3+1)/24)-ABS('Booking Log'!$G$4:$G$400-((F$3+1)/24)))/2)-(('Booking Log'!$F$4:$F$400+(F$3/24)+ABS('Booking Log'!$F$4:$F$400-(F$3/24)))/2))+ABS(((('Booking Log'!$G$4:$G$400+((F$3+1)/24)-ABS('Booking Log'!$G$4:$G$400-((F$3+1)/24)))/2)-(('Booking Log'!$F$4:$F$400+(F$3/24)+ABS('Booking Log'!$F$4:$F$400-(F$3/24)))/2))))/2))*24/Assumptions!$B$9)</f>
        <v>0</v>
      </c>
      <c r="G6" s="37" t="n">
        <f aca="false">MIN(1,SUMPRODUCT(('Booking Log'!$A$4:$A$400=$C6)*('Booking Log'!$B$4:$B$400=$A6)*('Booking Log'!$D$4:$D$400=$B6)*((((('Booking Log'!$G$4:$G$400+((G$3+1)/24)-ABS('Booking Log'!$G$4:$G$400-((G$3+1)/24)))/2)-(('Booking Log'!$F$4:$F$400+(G$3/24)+ABS('Booking Log'!$F$4:$F$400-(G$3/24)))/2))+ABS(((('Booking Log'!$G$4:$G$400+((G$3+1)/24)-ABS('Booking Log'!$G$4:$G$400-((G$3+1)/24)))/2)-(('Booking Log'!$F$4:$F$400+(G$3/24)+ABS('Booking Log'!$F$4:$F$400-(G$3/24)))/2))))/2))*24/Assumptions!$B$9)</f>
        <v>0</v>
      </c>
      <c r="H6" s="37" t="n">
        <f aca="false">MIN(1,SUMPRODUCT(('Booking Log'!$A$4:$A$400=$C6)*('Booking Log'!$B$4:$B$400=$A6)*('Booking Log'!$D$4:$D$400=$B6)*((((('Booking Log'!$G$4:$G$400+((H$3+1)/24)-ABS('Booking Log'!$G$4:$G$400-((H$3+1)/24)))/2)-(('Booking Log'!$F$4:$F$400+(H$3/24)+ABS('Booking Log'!$F$4:$F$400-(H$3/24)))/2))+ABS(((('Booking Log'!$G$4:$G$400+((H$3+1)/24)-ABS('Booking Log'!$G$4:$G$400-((H$3+1)/24)))/2)-(('Booking Log'!$F$4:$F$400+(H$3/24)+ABS('Booking Log'!$F$4:$F$400-(H$3/24)))/2))))/2))*24/Assumptions!$B$9)</f>
        <v>0.999999999999999</v>
      </c>
      <c r="I6" s="37" t="n">
        <f aca="false">MIN(1,SUMPRODUCT(('Booking Log'!$A$4:$A$400=$C6)*('Booking Log'!$B$4:$B$400=$A6)*('Booking Log'!$D$4:$D$400=$B6)*((((('Booking Log'!$G$4:$G$400+((I$3+1)/24)-ABS('Booking Log'!$G$4:$G$400-((I$3+1)/24)))/2)-(('Booking Log'!$F$4:$F$400+(I$3/24)+ABS('Booking Log'!$F$4:$F$400-(I$3/24)))/2))+ABS(((('Booking Log'!$G$4:$G$400+((I$3+1)/24)-ABS('Booking Log'!$G$4:$G$400-((I$3+1)/24)))/2)-(('Booking Log'!$F$4:$F$400+(I$3/24)+ABS('Booking Log'!$F$4:$F$400-(I$3/24)))/2))))/2))*24/Assumptions!$B$9)</f>
        <v>1</v>
      </c>
      <c r="J6" s="37" t="n">
        <f aca="false">MIN(1,SUMPRODUCT(('Booking Log'!$A$4:$A$400=$C6)*('Booking Log'!$B$4:$B$400=$A6)*('Booking Log'!$D$4:$D$400=$B6)*((((('Booking Log'!$G$4:$G$400+((J$3+1)/24)-ABS('Booking Log'!$G$4:$G$400-((J$3+1)/24)))/2)-(('Booking Log'!$F$4:$F$400+(J$3/24)+ABS('Booking Log'!$F$4:$F$400-(J$3/24)))/2))+ABS(((('Booking Log'!$G$4:$G$400+((J$3+1)/24)-ABS('Booking Log'!$G$4:$G$400-((J$3+1)/24)))/2)-(('Booking Log'!$F$4:$F$400+(J$3/24)+ABS('Booking Log'!$F$4:$F$400-(J$3/24)))/2))))/2))*24/Assumptions!$B$9)</f>
        <v>0</v>
      </c>
      <c r="K6" s="37" t="n">
        <f aca="false">MIN(1,SUMPRODUCT(('Booking Log'!$A$4:$A$400=$C6)*('Booking Log'!$B$4:$B$400=$A6)*('Booking Log'!$D$4:$D$400=$B6)*((((('Booking Log'!$G$4:$G$400+((K$3+1)/24)-ABS('Booking Log'!$G$4:$G$400-((K$3+1)/24)))/2)-(('Booking Log'!$F$4:$F$400+(K$3/24)+ABS('Booking Log'!$F$4:$F$400-(K$3/24)))/2))+ABS(((('Booking Log'!$G$4:$G$400+((K$3+1)/24)-ABS('Booking Log'!$G$4:$G$400-((K$3+1)/24)))/2)-(('Booking Log'!$F$4:$F$400+(K$3/24)+ABS('Booking Log'!$F$4:$F$400-(K$3/24)))/2))))/2))*24/Assumptions!$B$9)</f>
        <v>0.999999999999999</v>
      </c>
      <c r="L6" s="37" t="n">
        <f aca="false">MIN(1,SUMPRODUCT(('Booking Log'!$A$4:$A$400=$C6)*('Booking Log'!$B$4:$B$400=$A6)*('Booking Log'!$D$4:$D$400=$B6)*((((('Booking Log'!$G$4:$G$400+((L$3+1)/24)-ABS('Booking Log'!$G$4:$G$400-((L$3+1)/24)))/2)-(('Booking Log'!$F$4:$F$400+(L$3/24)+ABS('Booking Log'!$F$4:$F$400-(L$3/24)))/2))+ABS(((('Booking Log'!$G$4:$G$400+((L$3+1)/24)-ABS('Booking Log'!$G$4:$G$400-((L$3+1)/24)))/2)-(('Booking Log'!$F$4:$F$400+(L$3/24)+ABS('Booking Log'!$F$4:$F$400-(L$3/24)))/2))))/2))*24/Assumptions!$B$9)</f>
        <v>1</v>
      </c>
      <c r="M6" s="21" t="n">
        <f aca="false">SUM(D6:L6)</f>
        <v>4</v>
      </c>
    </row>
    <row r="7" customFormat="false" ht="15" hidden="false" customHeight="false" outlineLevel="0" collapsed="false">
      <c r="A7" s="26" t="s">
        <v>42</v>
      </c>
      <c r="B7" s="26" t="s">
        <v>105</v>
      </c>
      <c r="C7" s="26" t="s">
        <v>135</v>
      </c>
      <c r="D7" s="37" t="n">
        <f aca="false">MIN(1,SUMPRODUCT(('Booking Log'!$A$4:$A$400=$C7)*('Booking Log'!$B$4:$B$400=$A7)*('Booking Log'!$D$4:$D$400=$B7)*((((('Booking Log'!$G$4:$G$400+((D$3+1)/24)-ABS('Booking Log'!$G$4:$G$400-((D$3+1)/24)))/2)-(('Booking Log'!$F$4:$F$400+(D$3/24)+ABS('Booking Log'!$F$4:$F$400-(D$3/24)))/2))+ABS(((('Booking Log'!$G$4:$G$400+((D$3+1)/24)-ABS('Booking Log'!$G$4:$G$400-((D$3+1)/24)))/2)-(('Booking Log'!$F$4:$F$400+(D$3/24)+ABS('Booking Log'!$F$4:$F$400-(D$3/24)))/2))))/2))*24/Assumptions!$B$9)</f>
        <v>0</v>
      </c>
      <c r="E7" s="37" t="n">
        <f aca="false">MIN(1,SUMPRODUCT(('Booking Log'!$A$4:$A$400=$C7)*('Booking Log'!$B$4:$B$400=$A7)*('Booking Log'!$D$4:$D$400=$B7)*((((('Booking Log'!$G$4:$G$400+((E$3+1)/24)-ABS('Booking Log'!$G$4:$G$400-((E$3+1)/24)))/2)-(('Booking Log'!$F$4:$F$400+(E$3/24)+ABS('Booking Log'!$F$4:$F$400-(E$3/24)))/2))+ABS(((('Booking Log'!$G$4:$G$400+((E$3+1)/24)-ABS('Booking Log'!$G$4:$G$400-((E$3+1)/24)))/2)-(('Booking Log'!$F$4:$F$400+(E$3/24)+ABS('Booking Log'!$F$4:$F$400-(E$3/24)))/2))))/2))*24/Assumptions!$B$9)</f>
        <v>0</v>
      </c>
      <c r="F7" s="37" t="n">
        <f aca="false">MIN(1,SUMPRODUCT(('Booking Log'!$A$4:$A$400=$C7)*('Booking Log'!$B$4:$B$400=$A7)*('Booking Log'!$D$4:$D$400=$B7)*((((('Booking Log'!$G$4:$G$400+((F$3+1)/24)-ABS('Booking Log'!$G$4:$G$400-((F$3+1)/24)))/2)-(('Booking Log'!$F$4:$F$400+(F$3/24)+ABS('Booking Log'!$F$4:$F$400-(F$3/24)))/2))+ABS(((('Booking Log'!$G$4:$G$400+((F$3+1)/24)-ABS('Booking Log'!$G$4:$G$400-((F$3+1)/24)))/2)-(('Booking Log'!$F$4:$F$400+(F$3/24)+ABS('Booking Log'!$F$4:$F$400-(F$3/24)))/2))))/2))*24/Assumptions!$B$9)</f>
        <v>0</v>
      </c>
      <c r="G7" s="37" t="n">
        <f aca="false">MIN(1,SUMPRODUCT(('Booking Log'!$A$4:$A$400=$C7)*('Booking Log'!$B$4:$B$400=$A7)*('Booking Log'!$D$4:$D$400=$B7)*((((('Booking Log'!$G$4:$G$400+((G$3+1)/24)-ABS('Booking Log'!$G$4:$G$400-((G$3+1)/24)))/2)-(('Booking Log'!$F$4:$F$400+(G$3/24)+ABS('Booking Log'!$F$4:$F$400-(G$3/24)))/2))+ABS(((('Booking Log'!$G$4:$G$400+((G$3+1)/24)-ABS('Booking Log'!$G$4:$G$400-((G$3+1)/24)))/2)-(('Booking Log'!$F$4:$F$400+(G$3/24)+ABS('Booking Log'!$F$4:$F$400-(G$3/24)))/2))))/2))*24/Assumptions!$B$9)</f>
        <v>0</v>
      </c>
      <c r="H7" s="37" t="n">
        <f aca="false">MIN(1,SUMPRODUCT(('Booking Log'!$A$4:$A$400=$C7)*('Booking Log'!$B$4:$B$400=$A7)*('Booking Log'!$D$4:$D$400=$B7)*((((('Booking Log'!$G$4:$G$400+((H$3+1)/24)-ABS('Booking Log'!$G$4:$G$400-((H$3+1)/24)))/2)-(('Booking Log'!$F$4:$F$400+(H$3/24)+ABS('Booking Log'!$F$4:$F$400-(H$3/24)))/2))+ABS(((('Booking Log'!$G$4:$G$400+((H$3+1)/24)-ABS('Booking Log'!$G$4:$G$400-((H$3+1)/24)))/2)-(('Booking Log'!$F$4:$F$400+(H$3/24)+ABS('Booking Log'!$F$4:$F$400-(H$3/24)))/2))))/2))*24/Assumptions!$B$9)</f>
        <v>0</v>
      </c>
      <c r="I7" s="37" t="n">
        <f aca="false">MIN(1,SUMPRODUCT(('Booking Log'!$A$4:$A$400=$C7)*('Booking Log'!$B$4:$B$400=$A7)*('Booking Log'!$D$4:$D$400=$B7)*((((('Booking Log'!$G$4:$G$400+((I$3+1)/24)-ABS('Booking Log'!$G$4:$G$400-((I$3+1)/24)))/2)-(('Booking Log'!$F$4:$F$400+(I$3/24)+ABS('Booking Log'!$F$4:$F$400-(I$3/24)))/2))+ABS(((('Booking Log'!$G$4:$G$400+((I$3+1)/24)-ABS('Booking Log'!$G$4:$G$400-((I$3+1)/24)))/2)-(('Booking Log'!$F$4:$F$400+(I$3/24)+ABS('Booking Log'!$F$4:$F$400-(I$3/24)))/2))))/2))*24/Assumptions!$B$9)</f>
        <v>1</v>
      </c>
      <c r="J7" s="37" t="n">
        <f aca="false">MIN(1,SUMPRODUCT(('Booking Log'!$A$4:$A$400=$C7)*('Booking Log'!$B$4:$B$400=$A7)*('Booking Log'!$D$4:$D$400=$B7)*((((('Booking Log'!$G$4:$G$400+((J$3+1)/24)-ABS('Booking Log'!$G$4:$G$400-((J$3+1)/24)))/2)-(('Booking Log'!$F$4:$F$400+(J$3/24)+ABS('Booking Log'!$F$4:$F$400-(J$3/24)))/2))+ABS(((('Booking Log'!$G$4:$G$400+((J$3+1)/24)-ABS('Booking Log'!$G$4:$G$400-((J$3+1)/24)))/2)-(('Booking Log'!$F$4:$F$400+(J$3/24)+ABS('Booking Log'!$F$4:$F$400-(J$3/24)))/2))))/2))*24/Assumptions!$B$9)</f>
        <v>0.999999999999999</v>
      </c>
      <c r="K7" s="37" t="n">
        <f aca="false">MIN(1,SUMPRODUCT(('Booking Log'!$A$4:$A$400=$C7)*('Booking Log'!$B$4:$B$400=$A7)*('Booking Log'!$D$4:$D$400=$B7)*((((('Booking Log'!$G$4:$G$400+((K$3+1)/24)-ABS('Booking Log'!$G$4:$G$400-((K$3+1)/24)))/2)-(('Booking Log'!$F$4:$F$400+(K$3/24)+ABS('Booking Log'!$F$4:$F$400-(K$3/24)))/2))+ABS(((('Booking Log'!$G$4:$G$400+((K$3+1)/24)-ABS('Booking Log'!$G$4:$G$400-((K$3+1)/24)))/2)-(('Booking Log'!$F$4:$F$400+(K$3/24)+ABS('Booking Log'!$F$4:$F$400-(K$3/24)))/2))))/2))*24/Assumptions!$B$9)</f>
        <v>0</v>
      </c>
      <c r="L7" s="37" t="n">
        <f aca="false">MIN(1,SUMPRODUCT(('Booking Log'!$A$4:$A$400=$C7)*('Booking Log'!$B$4:$B$400=$A7)*('Booking Log'!$D$4:$D$400=$B7)*((((('Booking Log'!$G$4:$G$400+((L$3+1)/24)-ABS('Booking Log'!$G$4:$G$400-((L$3+1)/24)))/2)-(('Booking Log'!$F$4:$F$400+(L$3/24)+ABS('Booking Log'!$F$4:$F$400-(L$3/24)))/2))+ABS(((('Booking Log'!$G$4:$G$400+((L$3+1)/24)-ABS('Booking Log'!$G$4:$G$400-((L$3+1)/24)))/2)-(('Booking Log'!$F$4:$F$400+(L$3/24)+ABS('Booking Log'!$F$4:$F$400-(L$3/24)))/2))))/2))*24/Assumptions!$B$9)</f>
        <v>0</v>
      </c>
      <c r="M7" s="21" t="n">
        <f aca="false">SUM(D7:L7)</f>
        <v>2</v>
      </c>
    </row>
    <row r="8" customFormat="false" ht="15" hidden="false" customHeight="false" outlineLevel="0" collapsed="false">
      <c r="A8" s="26" t="s">
        <v>42</v>
      </c>
      <c r="B8" s="26" t="s">
        <v>117</v>
      </c>
      <c r="C8" s="26" t="s">
        <v>135</v>
      </c>
      <c r="D8" s="37" t="n">
        <f aca="false">MIN(1,SUMPRODUCT(('Booking Log'!$A$4:$A$400=$C8)*('Booking Log'!$B$4:$B$400=$A8)*('Booking Log'!$D$4:$D$400=$B8)*((((('Booking Log'!$G$4:$G$400+((D$3+1)/24)-ABS('Booking Log'!$G$4:$G$400-((D$3+1)/24)))/2)-(('Booking Log'!$F$4:$F$400+(D$3/24)+ABS('Booking Log'!$F$4:$F$400-(D$3/24)))/2))+ABS(((('Booking Log'!$G$4:$G$400+((D$3+1)/24)-ABS('Booking Log'!$G$4:$G$400-((D$3+1)/24)))/2)-(('Booking Log'!$F$4:$F$400+(D$3/24)+ABS('Booking Log'!$F$4:$F$400-(D$3/24)))/2))))/2))*24/Assumptions!$B$9)</f>
        <v>0</v>
      </c>
      <c r="E8" s="37" t="n">
        <f aca="false">MIN(1,SUMPRODUCT(('Booking Log'!$A$4:$A$400=$C8)*('Booking Log'!$B$4:$B$400=$A8)*('Booking Log'!$D$4:$D$400=$B8)*((((('Booking Log'!$G$4:$G$400+((E$3+1)/24)-ABS('Booking Log'!$G$4:$G$400-((E$3+1)/24)))/2)-(('Booking Log'!$F$4:$F$400+(E$3/24)+ABS('Booking Log'!$F$4:$F$400-(E$3/24)))/2))+ABS(((('Booking Log'!$G$4:$G$400+((E$3+1)/24)-ABS('Booking Log'!$G$4:$G$400-((E$3+1)/24)))/2)-(('Booking Log'!$F$4:$F$400+(E$3/24)+ABS('Booking Log'!$F$4:$F$400-(E$3/24)))/2))))/2))*24/Assumptions!$B$9)</f>
        <v>0</v>
      </c>
      <c r="F8" s="37" t="n">
        <f aca="false">MIN(1,SUMPRODUCT(('Booking Log'!$A$4:$A$400=$C8)*('Booking Log'!$B$4:$B$400=$A8)*('Booking Log'!$D$4:$D$400=$B8)*((((('Booking Log'!$G$4:$G$400+((F$3+1)/24)-ABS('Booking Log'!$G$4:$G$400-((F$3+1)/24)))/2)-(('Booking Log'!$F$4:$F$400+(F$3/24)+ABS('Booking Log'!$F$4:$F$400-(F$3/24)))/2))+ABS(((('Booking Log'!$G$4:$G$400+((F$3+1)/24)-ABS('Booking Log'!$G$4:$G$400-((F$3+1)/24)))/2)-(('Booking Log'!$F$4:$F$400+(F$3/24)+ABS('Booking Log'!$F$4:$F$400-(F$3/24)))/2))))/2))*24/Assumptions!$B$9)</f>
        <v>0</v>
      </c>
      <c r="G8" s="37" t="n">
        <f aca="false">MIN(1,SUMPRODUCT(('Booking Log'!$A$4:$A$400=$C8)*('Booking Log'!$B$4:$B$400=$A8)*('Booking Log'!$D$4:$D$400=$B8)*((((('Booking Log'!$G$4:$G$400+((G$3+1)/24)-ABS('Booking Log'!$G$4:$G$400-((G$3+1)/24)))/2)-(('Booking Log'!$F$4:$F$400+(G$3/24)+ABS('Booking Log'!$F$4:$F$400-(G$3/24)))/2))+ABS(((('Booking Log'!$G$4:$G$400+((G$3+1)/24)-ABS('Booking Log'!$G$4:$G$400-((G$3+1)/24)))/2)-(('Booking Log'!$F$4:$F$400+(G$3/24)+ABS('Booking Log'!$F$4:$F$400-(G$3/24)))/2))))/2))*24/Assumptions!$B$9)</f>
        <v>0.5</v>
      </c>
      <c r="H8" s="37" t="n">
        <f aca="false">MIN(1,SUMPRODUCT(('Booking Log'!$A$4:$A$400=$C8)*('Booking Log'!$B$4:$B$400=$A8)*('Booking Log'!$D$4:$D$400=$B8)*((((('Booking Log'!$G$4:$G$400+((H$3+1)/24)-ABS('Booking Log'!$G$4:$G$400-((H$3+1)/24)))/2)-(('Booking Log'!$F$4:$F$400+(H$3/24)+ABS('Booking Log'!$F$4:$F$400-(H$3/24)))/2))+ABS(((('Booking Log'!$G$4:$G$400+((H$3+1)/24)-ABS('Booking Log'!$G$4:$G$400-((H$3+1)/24)))/2)-(('Booking Log'!$F$4:$F$400+(H$3/24)+ABS('Booking Log'!$F$4:$F$400-(H$3/24)))/2))))/2))*24/Assumptions!$B$9)</f>
        <v>0.999999999999996</v>
      </c>
      <c r="I8" s="37" t="n">
        <f aca="false">MIN(1,SUMPRODUCT(('Booking Log'!$A$4:$A$400=$C8)*('Booking Log'!$B$4:$B$400=$A8)*('Booking Log'!$D$4:$D$400=$B8)*((((('Booking Log'!$G$4:$G$400+((I$3+1)/24)-ABS('Booking Log'!$G$4:$G$400-((I$3+1)/24)))/2)-(('Booking Log'!$F$4:$F$400+(I$3/24)+ABS('Booking Log'!$F$4:$F$400-(I$3/24)))/2))+ABS(((('Booking Log'!$G$4:$G$400+((I$3+1)/24)-ABS('Booking Log'!$G$4:$G$400-((I$3+1)/24)))/2)-(('Booking Log'!$F$4:$F$400+(I$3/24)+ABS('Booking Log'!$F$4:$F$400-(I$3/24)))/2))))/2))*24/Assumptions!$B$9)</f>
        <v>0.500000000000001</v>
      </c>
      <c r="J8" s="37" t="n">
        <f aca="false">MIN(1,SUMPRODUCT(('Booking Log'!$A$4:$A$400=$C8)*('Booking Log'!$B$4:$B$400=$A8)*('Booking Log'!$D$4:$D$400=$B8)*((((('Booking Log'!$G$4:$G$400+((J$3+1)/24)-ABS('Booking Log'!$G$4:$G$400-((J$3+1)/24)))/2)-(('Booking Log'!$F$4:$F$400+(J$3/24)+ABS('Booking Log'!$F$4:$F$400-(J$3/24)))/2))+ABS(((('Booking Log'!$G$4:$G$400+((J$3+1)/24)-ABS('Booking Log'!$G$4:$G$400-((J$3+1)/24)))/2)-(('Booking Log'!$F$4:$F$400+(J$3/24)+ABS('Booking Log'!$F$4:$F$400-(J$3/24)))/2))))/2))*24/Assumptions!$B$9)</f>
        <v>0</v>
      </c>
      <c r="K8" s="37" t="n">
        <f aca="false">MIN(1,SUMPRODUCT(('Booking Log'!$A$4:$A$400=$C8)*('Booking Log'!$B$4:$B$400=$A8)*('Booking Log'!$D$4:$D$400=$B8)*((((('Booking Log'!$G$4:$G$400+((K$3+1)/24)-ABS('Booking Log'!$G$4:$G$400-((K$3+1)/24)))/2)-(('Booking Log'!$F$4:$F$400+(K$3/24)+ABS('Booking Log'!$F$4:$F$400-(K$3/24)))/2))+ABS(((('Booking Log'!$G$4:$G$400+((K$3+1)/24)-ABS('Booking Log'!$G$4:$G$400-((K$3+1)/24)))/2)-(('Booking Log'!$F$4:$F$400+(K$3/24)+ABS('Booking Log'!$F$4:$F$400-(K$3/24)))/2))))/2))*24/Assumptions!$B$9)</f>
        <v>0.999999999999999</v>
      </c>
      <c r="L8" s="37" t="n">
        <f aca="false">MIN(1,SUMPRODUCT(('Booking Log'!$A$4:$A$400=$C8)*('Booking Log'!$B$4:$B$400=$A8)*('Booking Log'!$D$4:$D$400=$B8)*((((('Booking Log'!$G$4:$G$400+((L$3+1)/24)-ABS('Booking Log'!$G$4:$G$400-((L$3+1)/24)))/2)-(('Booking Log'!$F$4:$F$400+(L$3/24)+ABS('Booking Log'!$F$4:$F$400-(L$3/24)))/2))+ABS(((('Booking Log'!$G$4:$G$400+((L$3+1)/24)-ABS('Booking Log'!$G$4:$G$400-((L$3+1)/24)))/2)-(('Booking Log'!$F$4:$F$400+(L$3/24)+ABS('Booking Log'!$F$4:$F$400-(L$3/24)))/2))))/2))*24/Assumptions!$B$9)</f>
        <v>0</v>
      </c>
      <c r="M8" s="21" t="n">
        <f aca="false">SUM(D8:L8)</f>
        <v>3</v>
      </c>
    </row>
    <row r="9" customFormat="false" ht="15" hidden="false" customHeight="false" outlineLevel="0" collapsed="false">
      <c r="A9" s="26" t="s">
        <v>42</v>
      </c>
      <c r="B9" s="26" t="s">
        <v>118</v>
      </c>
      <c r="C9" s="26" t="s">
        <v>135</v>
      </c>
      <c r="D9" s="37" t="n">
        <f aca="false">MIN(1,SUMPRODUCT(('Booking Log'!$A$4:$A$400=$C9)*('Booking Log'!$B$4:$B$400=$A9)*('Booking Log'!$D$4:$D$400=$B9)*((((('Booking Log'!$G$4:$G$400+((D$3+1)/24)-ABS('Booking Log'!$G$4:$G$400-((D$3+1)/24)))/2)-(('Booking Log'!$F$4:$F$400+(D$3/24)+ABS('Booking Log'!$F$4:$F$400-(D$3/24)))/2))+ABS(((('Booking Log'!$G$4:$G$400+((D$3+1)/24)-ABS('Booking Log'!$G$4:$G$400-((D$3+1)/24)))/2)-(('Booking Log'!$F$4:$F$400+(D$3/24)+ABS('Booking Log'!$F$4:$F$400-(D$3/24)))/2))))/2))*24/Assumptions!$B$9)</f>
        <v>0</v>
      </c>
      <c r="E9" s="37" t="n">
        <f aca="false">MIN(1,SUMPRODUCT(('Booking Log'!$A$4:$A$400=$C9)*('Booking Log'!$B$4:$B$400=$A9)*('Booking Log'!$D$4:$D$400=$B9)*((((('Booking Log'!$G$4:$G$400+((E$3+1)/24)-ABS('Booking Log'!$G$4:$G$400-((E$3+1)/24)))/2)-(('Booking Log'!$F$4:$F$400+(E$3/24)+ABS('Booking Log'!$F$4:$F$400-(E$3/24)))/2))+ABS(((('Booking Log'!$G$4:$G$400+((E$3+1)/24)-ABS('Booking Log'!$G$4:$G$400-((E$3+1)/24)))/2)-(('Booking Log'!$F$4:$F$400+(E$3/24)+ABS('Booking Log'!$F$4:$F$400-(E$3/24)))/2))))/2))*24/Assumptions!$B$9)</f>
        <v>1</v>
      </c>
      <c r="F9" s="37" t="n">
        <f aca="false">MIN(1,SUMPRODUCT(('Booking Log'!$A$4:$A$400=$C9)*('Booking Log'!$B$4:$B$400=$A9)*('Booking Log'!$D$4:$D$400=$B9)*((((('Booking Log'!$G$4:$G$400+((F$3+1)/24)-ABS('Booking Log'!$G$4:$G$400-((F$3+1)/24)))/2)-(('Booking Log'!$F$4:$F$400+(F$3/24)+ABS('Booking Log'!$F$4:$F$400-(F$3/24)))/2))+ABS(((('Booking Log'!$G$4:$G$400+((F$3+1)/24)-ABS('Booking Log'!$G$4:$G$400-((F$3+1)/24)))/2)-(('Booking Log'!$F$4:$F$400+(F$3/24)+ABS('Booking Log'!$F$4:$F$400-(F$3/24)))/2))))/2))*24/Assumptions!$B$9)</f>
        <v>0.999999999999998</v>
      </c>
      <c r="G9" s="37" t="n">
        <f aca="false">MIN(1,SUMPRODUCT(('Booking Log'!$A$4:$A$400=$C9)*('Booking Log'!$B$4:$B$400=$A9)*('Booking Log'!$D$4:$D$400=$B9)*((((('Booking Log'!$G$4:$G$400+((G$3+1)/24)-ABS('Booking Log'!$G$4:$G$400-((G$3+1)/24)))/2)-(('Booking Log'!$F$4:$F$400+(G$3/24)+ABS('Booking Log'!$F$4:$F$400-(G$3/24)))/2))+ABS(((('Booking Log'!$G$4:$G$400+((G$3+1)/24)-ABS('Booking Log'!$G$4:$G$400-((G$3+1)/24)))/2)-(('Booking Log'!$F$4:$F$400+(G$3/24)+ABS('Booking Log'!$F$4:$F$400-(G$3/24)))/2))))/2))*24/Assumptions!$B$9)</f>
        <v>0.500000000000004</v>
      </c>
      <c r="H9" s="37" t="n">
        <f aca="false">MIN(1,SUMPRODUCT(('Booking Log'!$A$4:$A$400=$C9)*('Booking Log'!$B$4:$B$400=$A9)*('Booking Log'!$D$4:$D$400=$B9)*((((('Booking Log'!$G$4:$G$400+((H$3+1)/24)-ABS('Booking Log'!$G$4:$G$400-((H$3+1)/24)))/2)-(('Booking Log'!$F$4:$F$400+(H$3/24)+ABS('Booking Log'!$F$4:$F$400-(H$3/24)))/2))+ABS(((('Booking Log'!$G$4:$G$400+((H$3+1)/24)-ABS('Booking Log'!$G$4:$G$400-((H$3+1)/24)))/2)-(('Booking Log'!$F$4:$F$400+(H$3/24)+ABS('Booking Log'!$F$4:$F$400-(H$3/24)))/2))))/2))*24/Assumptions!$B$9)</f>
        <v>0.750000000000002</v>
      </c>
      <c r="I9" s="37" t="n">
        <f aca="false">MIN(1,SUMPRODUCT(('Booking Log'!$A$4:$A$400=$C9)*('Booking Log'!$B$4:$B$400=$A9)*('Booking Log'!$D$4:$D$400=$B9)*((((('Booking Log'!$G$4:$G$400+((I$3+1)/24)-ABS('Booking Log'!$G$4:$G$400-((I$3+1)/24)))/2)-(('Booking Log'!$F$4:$F$400+(I$3/24)+ABS('Booking Log'!$F$4:$F$400-(I$3/24)))/2))+ABS(((('Booking Log'!$G$4:$G$400+((I$3+1)/24)-ABS('Booking Log'!$G$4:$G$400-((I$3+1)/24)))/2)-(('Booking Log'!$F$4:$F$400+(I$3/24)+ABS('Booking Log'!$F$4:$F$400-(I$3/24)))/2))))/2))*24/Assumptions!$B$9)</f>
        <v>0.500000000000003</v>
      </c>
      <c r="J9" s="37" t="n">
        <f aca="false">MIN(1,SUMPRODUCT(('Booking Log'!$A$4:$A$400=$C9)*('Booking Log'!$B$4:$B$400=$A9)*('Booking Log'!$D$4:$D$400=$B9)*((((('Booking Log'!$G$4:$G$400+((J$3+1)/24)-ABS('Booking Log'!$G$4:$G$400-((J$3+1)/24)))/2)-(('Booking Log'!$F$4:$F$400+(J$3/24)+ABS('Booking Log'!$F$4:$F$400-(J$3/24)))/2))+ABS(((('Booking Log'!$G$4:$G$400+((J$3+1)/24)-ABS('Booking Log'!$G$4:$G$400-((J$3+1)/24)))/2)-(('Booking Log'!$F$4:$F$400+(J$3/24)+ABS('Booking Log'!$F$4:$F$400-(J$3/24)))/2))))/2))*24/Assumptions!$B$9)</f>
        <v>0.083333333333333</v>
      </c>
      <c r="K9" s="37" t="n">
        <f aca="false">MIN(1,SUMPRODUCT(('Booking Log'!$A$4:$A$400=$C9)*('Booking Log'!$B$4:$B$400=$A9)*('Booking Log'!$D$4:$D$400=$B9)*((((('Booking Log'!$G$4:$G$400+((K$3+1)/24)-ABS('Booking Log'!$G$4:$G$400-((K$3+1)/24)))/2)-(('Booking Log'!$F$4:$F$400+(K$3/24)+ABS('Booking Log'!$F$4:$F$400-(K$3/24)))/2))+ABS(((('Booking Log'!$G$4:$G$400+((K$3+1)/24)-ABS('Booking Log'!$G$4:$G$400-((K$3+1)/24)))/2)-(('Booking Log'!$F$4:$F$400+(K$3/24)+ABS('Booking Log'!$F$4:$F$400-(K$3/24)))/2))))/2))*24/Assumptions!$B$9)</f>
        <v>0</v>
      </c>
      <c r="L9" s="37" t="n">
        <f aca="false">MIN(1,SUMPRODUCT(('Booking Log'!$A$4:$A$400=$C9)*('Booking Log'!$B$4:$B$400=$A9)*('Booking Log'!$D$4:$D$400=$B9)*((((('Booking Log'!$G$4:$G$400+((L$3+1)/24)-ABS('Booking Log'!$G$4:$G$400-((L$3+1)/24)))/2)-(('Booking Log'!$F$4:$F$400+(L$3/24)+ABS('Booking Log'!$F$4:$F$400-(L$3/24)))/2))+ABS(((('Booking Log'!$G$4:$G$400+((L$3+1)/24)-ABS('Booking Log'!$G$4:$G$400-((L$3+1)/24)))/2)-(('Booking Log'!$F$4:$F$400+(L$3/24)+ABS('Booking Log'!$F$4:$F$400-(L$3/24)))/2))))/2))*24/Assumptions!$B$9)</f>
        <v>0</v>
      </c>
      <c r="M9" s="21" t="n">
        <f aca="false">SUM(D9:L9)</f>
        <v>3.83333333333334</v>
      </c>
    </row>
    <row r="10" customFormat="false" ht="15" hidden="false" customHeight="false" outlineLevel="0" collapsed="false">
      <c r="B10" s="3" t="s">
        <v>202</v>
      </c>
      <c r="M10" s="38" t="n">
        <f aca="false">SUM(M5:M9)</f>
        <v>15.8333333333333</v>
      </c>
    </row>
    <row r="12" customFormat="false" ht="15" hidden="false" customHeight="false" outlineLevel="0" collapsed="false">
      <c r="A12" s="3" t="s">
        <v>230</v>
      </c>
    </row>
    <row r="13" customFormat="false" ht="30" hidden="false" customHeight="true" outlineLevel="0" collapsed="false">
      <c r="A13" s="8" t="s">
        <v>31</v>
      </c>
      <c r="B13" s="8" t="s">
        <v>58</v>
      </c>
      <c r="C13" s="8"/>
      <c r="D13" s="8" t="s">
        <v>71</v>
      </c>
      <c r="E13" s="8" t="s">
        <v>74</v>
      </c>
      <c r="F13" s="8" t="s">
        <v>76</v>
      </c>
      <c r="G13" s="8" t="s">
        <v>78</v>
      </c>
      <c r="H13" s="8" t="s">
        <v>79</v>
      </c>
      <c r="I13" s="8" t="s">
        <v>81</v>
      </c>
      <c r="J13" s="8" t="s">
        <v>85</v>
      </c>
      <c r="K13" s="8" t="s">
        <v>88</v>
      </c>
      <c r="L13" s="8" t="s">
        <v>91</v>
      </c>
      <c r="M13" s="8" t="s">
        <v>231</v>
      </c>
    </row>
    <row r="14" customFormat="false" ht="15" hidden="false" customHeight="false" outlineLevel="0" collapsed="false">
      <c r="A14" s="17" t="s">
        <v>42</v>
      </c>
      <c r="B14" s="17" t="s">
        <v>70</v>
      </c>
      <c r="D14" s="42" t="n">
        <f aca="false">D5-Forecast!D6</f>
        <v>-0.15</v>
      </c>
      <c r="E14" s="42" t="n">
        <f aca="false">E5-Forecast!E6</f>
        <v>-0.5</v>
      </c>
      <c r="F14" s="42" t="n">
        <f aca="false">F5-Forecast!F6</f>
        <v>-0.849999999999999</v>
      </c>
      <c r="G14" s="42" t="n">
        <f aca="false">G5-Forecast!G6</f>
        <v>-0.475000000000002</v>
      </c>
      <c r="H14" s="42" t="n">
        <f aca="false">H5-Forecast!H6</f>
        <v>0</v>
      </c>
      <c r="I14" s="42" t="n">
        <f aca="false">I5-Forecast!I6</f>
        <v>0</v>
      </c>
      <c r="J14" s="42" t="n">
        <f aca="false">J5-Forecast!J6</f>
        <v>0</v>
      </c>
      <c r="K14" s="42" t="n">
        <f aca="false">K5-Forecast!K6</f>
        <v>0</v>
      </c>
      <c r="L14" s="42" t="n">
        <f aca="false">L5-Forecast!L6</f>
        <v>0</v>
      </c>
      <c r="M14" s="43" t="n">
        <f aca="false">M5-Forecast!M6</f>
        <v>-1.975</v>
      </c>
    </row>
    <row r="15" customFormat="false" ht="15" hidden="false" customHeight="false" outlineLevel="0" collapsed="false">
      <c r="A15" s="17" t="s">
        <v>42</v>
      </c>
      <c r="B15" s="17" t="s">
        <v>94</v>
      </c>
      <c r="D15" s="42" t="n">
        <f aca="false">D6-Forecast!D7</f>
        <v>0</v>
      </c>
      <c r="E15" s="42" t="n">
        <f aca="false">E6-Forecast!E7</f>
        <v>-0.3</v>
      </c>
      <c r="F15" s="42" t="n">
        <f aca="false">F6-Forecast!F7</f>
        <v>-0.3</v>
      </c>
      <c r="G15" s="42" t="n">
        <f aca="false">G6-Forecast!G7</f>
        <v>-0.3</v>
      </c>
      <c r="H15" s="42" t="n">
        <f aca="false">H6-Forecast!H7</f>
        <v>0.649999999999999</v>
      </c>
      <c r="I15" s="42" t="n">
        <f aca="false">I6-Forecast!I7</f>
        <v>0</v>
      </c>
      <c r="J15" s="42" t="n">
        <f aca="false">J6-Forecast!J7</f>
        <v>-0.799999999999999</v>
      </c>
      <c r="K15" s="42" t="n">
        <f aca="false">K6-Forecast!K7</f>
        <v>0.25</v>
      </c>
      <c r="L15" s="42" t="n">
        <f aca="false">L6-Forecast!L7</f>
        <v>0.749999999999998</v>
      </c>
      <c r="M15" s="43" t="n">
        <f aca="false">M6-Forecast!M7</f>
        <v>-0.0500000000000007</v>
      </c>
    </row>
    <row r="16" customFormat="false" ht="15" hidden="false" customHeight="false" outlineLevel="0" collapsed="false">
      <c r="A16" s="17" t="s">
        <v>42</v>
      </c>
      <c r="B16" s="17" t="s">
        <v>105</v>
      </c>
      <c r="D16" s="42" t="n">
        <f aca="false">D7-Forecast!D8</f>
        <v>0</v>
      </c>
      <c r="E16" s="42" t="n">
        <f aca="false">E7-Forecast!E8</f>
        <v>-0.2</v>
      </c>
      <c r="F16" s="42" t="n">
        <f aca="false">F7-Forecast!F8</f>
        <v>-0.2</v>
      </c>
      <c r="G16" s="42" t="n">
        <f aca="false">G7-Forecast!G8</f>
        <v>-0.100000000000001</v>
      </c>
      <c r="H16" s="42" t="n">
        <f aca="false">H7-Forecast!H8</f>
        <v>-0.999999999999997</v>
      </c>
      <c r="I16" s="42" t="n">
        <f aca="false">I7-Forecast!I8</f>
        <v>0.574999999999996</v>
      </c>
      <c r="J16" s="42" t="n">
        <f aca="false">J7-Forecast!J8</f>
        <v>0.799999999999999</v>
      </c>
      <c r="K16" s="42" t="n">
        <f aca="false">K7-Forecast!K8</f>
        <v>-0.449999999999997</v>
      </c>
      <c r="L16" s="42" t="n">
        <f aca="false">L7-Forecast!L8</f>
        <v>-0.7</v>
      </c>
      <c r="M16" s="43" t="n">
        <f aca="false">M7-Forecast!M8</f>
        <v>-1.275</v>
      </c>
    </row>
    <row r="17" customFormat="false" ht="15" hidden="false" customHeight="false" outlineLevel="0" collapsed="false">
      <c r="A17" s="17" t="s">
        <v>42</v>
      </c>
      <c r="B17" s="17" t="s">
        <v>117</v>
      </c>
      <c r="D17" s="42" t="n">
        <f aca="false">D8-Forecast!D9</f>
        <v>0</v>
      </c>
      <c r="E17" s="42" t="n">
        <f aca="false">E8-Forecast!E9</f>
        <v>-0.3</v>
      </c>
      <c r="F17" s="42" t="n">
        <f aca="false">F8-Forecast!F9</f>
        <v>-0.3</v>
      </c>
      <c r="G17" s="42" t="n">
        <f aca="false">G8-Forecast!G9</f>
        <v>0.2</v>
      </c>
      <c r="H17" s="42" t="n">
        <f aca="false">H8-Forecast!H9</f>
        <v>0</v>
      </c>
      <c r="I17" s="42" t="n">
        <f aca="false">I8-Forecast!I9</f>
        <v>-0.0833333333333357</v>
      </c>
      <c r="J17" s="42" t="n">
        <f aca="false">J8-Forecast!J9</f>
        <v>0</v>
      </c>
      <c r="K17" s="42" t="n">
        <f aca="false">K8-Forecast!K9</f>
        <v>0</v>
      </c>
      <c r="L17" s="42" t="n">
        <f aca="false">L8-Forecast!L9</f>
        <v>-0.100000000000001</v>
      </c>
      <c r="M17" s="43" t="n">
        <f aca="false">M8-Forecast!M9</f>
        <v>-0.583333333333338</v>
      </c>
    </row>
    <row r="18" customFormat="false" ht="15" hidden="false" customHeight="false" outlineLevel="0" collapsed="false">
      <c r="A18" s="17" t="s">
        <v>42</v>
      </c>
      <c r="B18" s="17" t="s">
        <v>118</v>
      </c>
      <c r="D18" s="42" t="n">
        <f aca="false">D9-Forecast!D10</f>
        <v>0</v>
      </c>
      <c r="E18" s="42" t="n">
        <f aca="false">E9-Forecast!E10</f>
        <v>0.3</v>
      </c>
      <c r="F18" s="42" t="n">
        <f aca="false">F9-Forecast!F10</f>
        <v>0.299999999999999</v>
      </c>
      <c r="G18" s="42" t="n">
        <f aca="false">G9-Forecast!G10</f>
        <v>0.250000000000002</v>
      </c>
      <c r="H18" s="42" t="n">
        <f aca="false">H9-Forecast!H10</f>
        <v>0.0500000000000024</v>
      </c>
      <c r="I18" s="42" t="n">
        <f aca="false">I9-Forecast!I10</f>
        <v>0.500000000000003</v>
      </c>
      <c r="J18" s="42" t="n">
        <f aca="false">J9-Forecast!J10</f>
        <v>0.083333333333333</v>
      </c>
      <c r="K18" s="42" t="n">
        <f aca="false">K9-Forecast!K10</f>
        <v>-0.749999999999997</v>
      </c>
      <c r="L18" s="42" t="n">
        <f aca="false">L9-Forecast!L10</f>
        <v>-1</v>
      </c>
      <c r="M18" s="43" t="n">
        <f aca="false">M9-Forecast!M10</f>
        <v>-0.266666666666658</v>
      </c>
    </row>
    <row r="19" customFormat="false" ht="15" hidden="false" customHeight="false" outlineLevel="0" collapsed="false">
      <c r="B19" s="3" t="s">
        <v>202</v>
      </c>
      <c r="M19" s="44" t="n">
        <f aca="false">SUM(M14:M18)</f>
        <v>-4.15</v>
      </c>
    </row>
    <row r="21" customFormat="false" ht="15" hidden="false" customHeight="false" outlineLevel="0" collapsed="false">
      <c r="A21" s="7" t="s">
        <v>232</v>
      </c>
    </row>
  </sheetData>
  <conditionalFormatting sqref="D5:L9">
    <cfRule type="colorScale" priority="2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conditionalFormatting sqref="D14:L18">
    <cfRule type="colorScale" priority="3">
      <colorScale>
        <cfvo type="num" val="-1"/>
        <cfvo type="num" val="0"/>
        <cfvo type="num" val="1"/>
        <color rgb="FFE06666"/>
        <color rgb="FFFFFFFF"/>
        <color rgb="FF6AA84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12" min="4" style="0" width="10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D2" s="35" t="n">
        <v>8</v>
      </c>
      <c r="E2" s="35" t="n">
        <v>9</v>
      </c>
      <c r="F2" s="35" t="n">
        <v>10</v>
      </c>
      <c r="G2" s="35" t="n">
        <v>11</v>
      </c>
      <c r="H2" s="35" t="n">
        <v>12</v>
      </c>
      <c r="I2" s="35" t="n">
        <v>13</v>
      </c>
      <c r="J2" s="35" t="n">
        <v>14</v>
      </c>
      <c r="K2" s="35" t="n">
        <v>15</v>
      </c>
      <c r="L2" s="35" t="n">
        <v>16</v>
      </c>
    </row>
    <row r="3" customFormat="false" ht="30" hidden="false" customHeight="true" outlineLevel="0" collapsed="false">
      <c r="A3" s="8" t="s">
        <v>229</v>
      </c>
      <c r="B3" s="8" t="s">
        <v>31</v>
      </c>
      <c r="C3" s="8" t="s">
        <v>58</v>
      </c>
      <c r="D3" s="8" t="s">
        <v>71</v>
      </c>
      <c r="E3" s="8" t="s">
        <v>74</v>
      </c>
      <c r="F3" s="8" t="s">
        <v>76</v>
      </c>
      <c r="G3" s="8" t="s">
        <v>78</v>
      </c>
      <c r="H3" s="8" t="s">
        <v>79</v>
      </c>
      <c r="I3" s="8" t="s">
        <v>81</v>
      </c>
      <c r="J3" s="8" t="s">
        <v>85</v>
      </c>
      <c r="K3" s="8" t="s">
        <v>88</v>
      </c>
      <c r="L3" s="8" t="s">
        <v>91</v>
      </c>
      <c r="M3" s="8" t="s">
        <v>234</v>
      </c>
    </row>
    <row r="4" customFormat="false" ht="15" hidden="false" customHeight="false" outlineLevel="0" collapsed="false">
      <c r="A4" s="26" t="s">
        <v>235</v>
      </c>
      <c r="B4" s="26" t="s">
        <v>42</v>
      </c>
      <c r="C4" s="26" t="s">
        <v>70</v>
      </c>
      <c r="D4" s="11" t="n">
        <f aca="false">MIN(1,SUMPRODUCT(('Booking Log'!$A$4:$A$400=$A4)*('Booking Log'!$B$4:$B$400=$B4)*('Booking Log'!$D$4:$D$400=$C4)*((((('Booking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" s="11" t="n">
        <f aca="false">MIN(1,SUMPRODUCT(('Booking Log'!$A$4:$A$400=$A4)*('Booking Log'!$B$4:$B$400=$B4)*('Booking Log'!$D$4:$D$400=$C4)*((((('Booking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4" s="11" t="n">
        <f aca="false">MIN(1,SUMPRODUCT(('Booking Log'!$A$4:$A$400=$A4)*('Booking Log'!$B$4:$B$400=$B4)*('Booking Log'!$D$4:$D$400=$C4)*((((('Booking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4" s="11" t="n">
        <f aca="false">MIN(1,SUMPRODUCT(('Booking Log'!$A$4:$A$400=$A4)*('Booking Log'!$B$4:$B$400=$B4)*('Booking Log'!$D$4:$D$400=$C4)*((((('Booking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4" s="11" t="n">
        <f aca="false">MIN(1,SUMPRODUCT(('Booking Log'!$A$4:$A$400=$A4)*('Booking Log'!$B$4:$B$400=$B4)*('Booking Log'!$D$4:$D$400=$C4)*((((('Booking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4" s="11" t="n">
        <f aca="false">MIN(1,SUMPRODUCT(('Booking Log'!$A$4:$A$400=$A4)*('Booking Log'!$B$4:$B$400=$B4)*('Booking Log'!$D$4:$D$400=$C4)*((((('Booking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4" s="11" t="n">
        <f aca="false">MIN(1,SUMPRODUCT(('Booking Log'!$A$4:$A$400=$A4)*('Booking Log'!$B$4:$B$400=$B4)*('Booking Log'!$D$4:$D$400=$C4)*((((('Booking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" s="11" t="n">
        <f aca="false">MIN(1,SUMPRODUCT(('Booking Log'!$A$4:$A$400=$A4)*('Booking Log'!$B$4:$B$400=$B4)*('Booking Log'!$D$4:$D$400=$C4)*((((('Booking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4" s="11" t="n">
        <f aca="false">MIN(1,SUMPRODUCT(('Booking Log'!$A$4:$A$400=$A4)*('Booking Log'!$B$4:$B$400=$B4)*('Booking Log'!$D$4:$D$400=$C4)*((((('Booking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4" s="21" t="n">
        <f aca="false">SUM(D4:L4)</f>
        <v>5.5</v>
      </c>
    </row>
    <row r="5" customFormat="false" ht="15" hidden="false" customHeight="false" outlineLevel="0" collapsed="false">
      <c r="A5" s="26" t="s">
        <v>235</v>
      </c>
      <c r="B5" s="26" t="s">
        <v>42</v>
      </c>
      <c r="C5" s="26" t="s">
        <v>94</v>
      </c>
      <c r="D5" s="11" t="n">
        <f aca="false">MIN(1,SUMPRODUCT(('Booking Log'!$A$4:$A$400=$A5)*('Booking Log'!$B$4:$B$400=$B5)*('Booking Log'!$D$4:$D$400=$C5)*((((('Booking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" s="11" t="n">
        <f aca="false">MIN(1,SUMPRODUCT(('Booking Log'!$A$4:$A$400=$A5)*('Booking Log'!$B$4:$B$400=$B5)*('Booking Log'!$D$4:$D$400=$C5)*((((('Booking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5" s="11" t="n">
        <f aca="false">MIN(1,SUMPRODUCT(('Booking Log'!$A$4:$A$400=$A5)*('Booking Log'!$B$4:$B$400=$B5)*('Booking Log'!$D$4:$D$400=$C5)*((((('Booking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5" s="11" t="n">
        <f aca="false">MIN(1,SUMPRODUCT(('Booking Log'!$A$4:$A$400=$A5)*('Booking Log'!$B$4:$B$400=$B5)*('Booking Log'!$D$4:$D$400=$C5)*((((('Booking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5" s="11" t="n">
        <f aca="false">MIN(1,SUMPRODUCT(('Booking Log'!$A$4:$A$400=$A5)*('Booking Log'!$B$4:$B$400=$B5)*('Booking Log'!$D$4:$D$400=$C5)*((((('Booking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5" s="11" t="n">
        <f aca="false">MIN(1,SUMPRODUCT(('Booking Log'!$A$4:$A$400=$A5)*('Booking Log'!$B$4:$B$400=$B5)*('Booking Log'!$D$4:$D$400=$C5)*((((('Booking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5" s="11" t="n">
        <f aca="false">MIN(1,SUMPRODUCT(('Booking Log'!$A$4:$A$400=$A5)*('Booking Log'!$B$4:$B$400=$B5)*('Booking Log'!$D$4:$D$400=$C5)*((((('Booking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5" s="11" t="n">
        <f aca="false">MIN(1,SUMPRODUCT(('Booking Log'!$A$4:$A$400=$A5)*('Booking Log'!$B$4:$B$400=$B5)*('Booking Log'!$D$4:$D$400=$C5)*((((('Booking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5" s="11" t="n">
        <f aca="false">MIN(1,SUMPRODUCT(('Booking Log'!$A$4:$A$400=$A5)*('Booking Log'!$B$4:$B$400=$B5)*('Booking Log'!$D$4:$D$400=$C5)*((((('Booking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0.500000000000004</v>
      </c>
      <c r="M5" s="21" t="n">
        <f aca="false">SUM(D5:L5)</f>
        <v>3.5</v>
      </c>
    </row>
    <row r="6" customFormat="false" ht="15" hidden="false" customHeight="false" outlineLevel="0" collapsed="false">
      <c r="A6" s="26" t="s">
        <v>235</v>
      </c>
      <c r="B6" s="26" t="s">
        <v>42</v>
      </c>
      <c r="C6" s="26" t="s">
        <v>105</v>
      </c>
      <c r="D6" s="11" t="n">
        <f aca="false">MIN(1,SUMPRODUCT(('Booking Log'!$A$4:$A$400=$A6)*('Booking Log'!$B$4:$B$400=$B6)*('Booking Log'!$D$4:$D$400=$C6)*((((('Booking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6" s="11" t="n">
        <f aca="false">MIN(1,SUMPRODUCT(('Booking Log'!$A$4:$A$400=$A6)*('Booking Log'!$B$4:$B$400=$B6)*('Booking Log'!$D$4:$D$400=$C6)*((((('Booking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6" s="11" t="n">
        <f aca="false">MIN(1,SUMPRODUCT(('Booking Log'!$A$4:$A$400=$A6)*('Booking Log'!$B$4:$B$400=$B6)*('Booking Log'!$D$4:$D$400=$C6)*((((('Booking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6" s="11" t="n">
        <f aca="false">MIN(1,SUMPRODUCT(('Booking Log'!$A$4:$A$400=$A6)*('Booking Log'!$B$4:$B$400=$B6)*('Booking Log'!$D$4:$D$400=$C6)*((((('Booking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6" s="11" t="n">
        <f aca="false">MIN(1,SUMPRODUCT(('Booking Log'!$A$4:$A$400=$A6)*('Booking Log'!$B$4:$B$400=$B6)*('Booking Log'!$D$4:$D$400=$C6)*((((('Booking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6" s="11" t="n">
        <f aca="false">MIN(1,SUMPRODUCT(('Booking Log'!$A$4:$A$400=$A6)*('Booking Log'!$B$4:$B$400=$B6)*('Booking Log'!$D$4:$D$400=$C6)*((((('Booking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6" s="11" t="n">
        <f aca="false">MIN(1,SUMPRODUCT(('Booking Log'!$A$4:$A$400=$A6)*('Booking Log'!$B$4:$B$400=$B6)*('Booking Log'!$D$4:$D$400=$C6)*((((('Booking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6" s="11" t="n">
        <f aca="false">MIN(1,SUMPRODUCT(('Booking Log'!$A$4:$A$400=$A6)*('Booking Log'!$B$4:$B$400=$B6)*('Booking Log'!$D$4:$D$400=$C6)*((((('Booking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0.999999999999994</v>
      </c>
      <c r="L6" s="11" t="n">
        <f aca="false">MIN(1,SUMPRODUCT(('Booking Log'!$A$4:$A$400=$A6)*('Booking Log'!$B$4:$B$400=$B6)*('Booking Log'!$D$4:$D$400=$C6)*((((('Booking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6" s="21" t="n">
        <f aca="false">SUM(D6:L6)</f>
        <v>7</v>
      </c>
    </row>
    <row r="7" customFormat="false" ht="15" hidden="false" customHeight="false" outlineLevel="0" collapsed="false">
      <c r="A7" s="26" t="s">
        <v>235</v>
      </c>
      <c r="B7" s="26" t="s">
        <v>42</v>
      </c>
      <c r="C7" s="26" t="s">
        <v>117</v>
      </c>
      <c r="D7" s="11" t="n">
        <f aca="false">MIN(1,SUMPRODUCT(('Booking Log'!$A$4:$A$400=$A7)*('Booking Log'!$B$4:$B$400=$B7)*('Booking Log'!$D$4:$D$400=$C7)*((((('Booking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7" s="11" t="n">
        <f aca="false">MIN(1,SUMPRODUCT(('Booking Log'!$A$4:$A$400=$A7)*('Booking Log'!$B$4:$B$400=$B7)*('Booking Log'!$D$4:$D$400=$C7)*((((('Booking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7" s="11" t="n">
        <f aca="false">MIN(1,SUMPRODUCT(('Booking Log'!$A$4:$A$400=$A7)*('Booking Log'!$B$4:$B$400=$B7)*('Booking Log'!$D$4:$D$400=$C7)*((((('Booking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7" s="11" t="n">
        <f aca="false">MIN(1,SUMPRODUCT(('Booking Log'!$A$4:$A$400=$A7)*('Booking Log'!$B$4:$B$400=$B7)*('Booking Log'!$D$4:$D$400=$C7)*((((('Booking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7" s="11" t="n">
        <f aca="false">MIN(1,SUMPRODUCT(('Booking Log'!$A$4:$A$400=$A7)*('Booking Log'!$B$4:$B$400=$B7)*('Booking Log'!$D$4:$D$400=$C7)*((((('Booking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7" s="11" t="n">
        <f aca="false">MIN(1,SUMPRODUCT(('Booking Log'!$A$4:$A$400=$A7)*('Booking Log'!$B$4:$B$400=$B7)*('Booking Log'!$D$4:$D$400=$C7)*((((('Booking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7" s="11" t="n">
        <f aca="false">MIN(1,SUMPRODUCT(('Booking Log'!$A$4:$A$400=$A7)*('Booking Log'!$B$4:$B$400=$B7)*('Booking Log'!$D$4:$D$400=$C7)*((((('Booking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7" s="11" t="n">
        <f aca="false">MIN(1,SUMPRODUCT(('Booking Log'!$A$4:$A$400=$A7)*('Booking Log'!$B$4:$B$400=$B7)*('Booking Log'!$D$4:$D$400=$C7)*((((('Booking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7" s="11" t="n">
        <f aca="false">MIN(1,SUMPRODUCT(('Booking Log'!$A$4:$A$400=$A7)*('Booking Log'!$B$4:$B$400=$B7)*('Booking Log'!$D$4:$D$400=$C7)*((((('Booking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0.500000000000004</v>
      </c>
      <c r="M7" s="21" t="n">
        <f aca="false">SUM(D7:L7)</f>
        <v>3</v>
      </c>
    </row>
    <row r="8" customFormat="false" ht="15" hidden="false" customHeight="false" outlineLevel="0" collapsed="false">
      <c r="A8" s="26" t="s">
        <v>235</v>
      </c>
      <c r="B8" s="26" t="s">
        <v>42</v>
      </c>
      <c r="C8" s="26" t="s">
        <v>118</v>
      </c>
      <c r="D8" s="11" t="n">
        <f aca="false">MIN(1,SUMPRODUCT(('Booking Log'!$A$4:$A$400=$A8)*('Booking Log'!$B$4:$B$400=$B8)*('Booking Log'!$D$4:$D$400=$C8)*((((('Booking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8" s="11" t="n">
        <f aca="false">MIN(1,SUMPRODUCT(('Booking Log'!$A$4:$A$400=$A8)*('Booking Log'!$B$4:$B$400=$B8)*('Booking Log'!$D$4:$D$400=$C8)*((((('Booking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8" s="11" t="n">
        <f aca="false">MIN(1,SUMPRODUCT(('Booking Log'!$A$4:$A$400=$A8)*('Booking Log'!$B$4:$B$400=$B8)*('Booking Log'!$D$4:$D$400=$C8)*((((('Booking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8" s="11" t="n">
        <f aca="false">MIN(1,SUMPRODUCT(('Booking Log'!$A$4:$A$400=$A8)*('Booking Log'!$B$4:$B$400=$B8)*('Booking Log'!$D$4:$D$400=$C8)*((((('Booking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8" s="11" t="n">
        <f aca="false">MIN(1,SUMPRODUCT(('Booking Log'!$A$4:$A$400=$A8)*('Booking Log'!$B$4:$B$400=$B8)*('Booking Log'!$D$4:$D$400=$C8)*((((('Booking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8" s="11" t="n">
        <f aca="false">MIN(1,SUMPRODUCT(('Booking Log'!$A$4:$A$400=$A8)*('Booking Log'!$B$4:$B$400=$B8)*('Booking Log'!$D$4:$D$400=$C8)*((((('Booking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8" s="11" t="n">
        <f aca="false">MIN(1,SUMPRODUCT(('Booking Log'!$A$4:$A$400=$A8)*('Booking Log'!$B$4:$B$400=$B8)*('Booking Log'!$D$4:$D$400=$C8)*((((('Booking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8" s="11" t="n">
        <f aca="false">MIN(1,SUMPRODUCT(('Booking Log'!$A$4:$A$400=$A8)*('Booking Log'!$B$4:$B$400=$B8)*('Booking Log'!$D$4:$D$400=$C8)*((((('Booking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8" s="11" t="n">
        <f aca="false">MIN(1,SUMPRODUCT(('Booking Log'!$A$4:$A$400=$A8)*('Booking Log'!$B$4:$B$400=$B8)*('Booking Log'!$D$4:$D$400=$C8)*((((('Booking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8" s="21" t="n">
        <f aca="false">SUM(D8:L8)</f>
        <v>5</v>
      </c>
    </row>
    <row r="9" customFormat="false" ht="15" hidden="false" customHeight="false" outlineLevel="0" collapsed="false">
      <c r="A9" s="26" t="s">
        <v>235</v>
      </c>
      <c r="B9" s="26" t="s">
        <v>43</v>
      </c>
      <c r="C9" s="26" t="s">
        <v>70</v>
      </c>
      <c r="D9" s="11" t="n">
        <f aca="false">MIN(1,SUMPRODUCT(('Booking Log'!$A$4:$A$400=$A9)*('Booking Log'!$B$4:$B$400=$B9)*('Booking Log'!$D$4:$D$400=$C9)*((((('Booking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9" s="11" t="n">
        <f aca="false">MIN(1,SUMPRODUCT(('Booking Log'!$A$4:$A$400=$A9)*('Booking Log'!$B$4:$B$400=$B9)*('Booking Log'!$D$4:$D$400=$C9)*((((('Booking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9" s="11" t="n">
        <f aca="false">MIN(1,SUMPRODUCT(('Booking Log'!$A$4:$A$400=$A9)*('Booking Log'!$B$4:$B$400=$B9)*('Booking Log'!$D$4:$D$400=$C9)*((((('Booking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9" s="11" t="n">
        <f aca="false">MIN(1,SUMPRODUCT(('Booking Log'!$A$4:$A$400=$A9)*('Booking Log'!$B$4:$B$400=$B9)*('Booking Log'!$D$4:$D$400=$C9)*((((('Booking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9" s="11" t="n">
        <f aca="false">MIN(1,SUMPRODUCT(('Booking Log'!$A$4:$A$400=$A9)*('Booking Log'!$B$4:$B$400=$B9)*('Booking Log'!$D$4:$D$400=$C9)*((((('Booking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9" s="11" t="n">
        <f aca="false">MIN(1,SUMPRODUCT(('Booking Log'!$A$4:$A$400=$A9)*('Booking Log'!$B$4:$B$400=$B9)*('Booking Log'!$D$4:$D$400=$C9)*((((('Booking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0.499999999999998</v>
      </c>
      <c r="J9" s="11" t="n">
        <f aca="false">MIN(1,SUMPRODUCT(('Booking Log'!$A$4:$A$400=$A9)*('Booking Log'!$B$4:$B$400=$B9)*('Booking Log'!$D$4:$D$400=$C9)*((((('Booking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0.83333333333333</v>
      </c>
      <c r="K9" s="11" t="n">
        <f aca="false">MIN(1,SUMPRODUCT(('Booking Log'!$A$4:$A$400=$A9)*('Booking Log'!$B$4:$B$400=$B9)*('Booking Log'!$D$4:$D$400=$C9)*((((('Booking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9" s="11" t="n">
        <f aca="false">MIN(1,SUMPRODUCT(('Booking Log'!$A$4:$A$400=$A9)*('Booking Log'!$B$4:$B$400=$B9)*('Booking Log'!$D$4:$D$400=$C9)*((((('Booking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9" s="21" t="n">
        <f aca="false">SUM(D9:L9)</f>
        <v>2.83333333333332</v>
      </c>
    </row>
    <row r="10" customFormat="false" ht="15" hidden="false" customHeight="false" outlineLevel="0" collapsed="false">
      <c r="A10" s="26" t="s">
        <v>235</v>
      </c>
      <c r="B10" s="26" t="s">
        <v>43</v>
      </c>
      <c r="C10" s="26" t="s">
        <v>94</v>
      </c>
      <c r="D10" s="11" t="n">
        <f aca="false">MIN(1,SUMPRODUCT(('Booking Log'!$A$4:$A$400=$A10)*('Booking Log'!$B$4:$B$400=$B10)*('Booking Log'!$D$4:$D$400=$C10)*((((('Booking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0" s="11" t="n">
        <f aca="false">MIN(1,SUMPRODUCT(('Booking Log'!$A$4:$A$400=$A10)*('Booking Log'!$B$4:$B$400=$B10)*('Booking Log'!$D$4:$D$400=$C10)*((((('Booking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0" s="11" t="n">
        <f aca="false">MIN(1,SUMPRODUCT(('Booking Log'!$A$4:$A$400=$A10)*('Booking Log'!$B$4:$B$400=$B10)*('Booking Log'!$D$4:$D$400=$C10)*((((('Booking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0" s="11" t="n">
        <f aca="false">MIN(1,SUMPRODUCT(('Booking Log'!$A$4:$A$400=$A10)*('Booking Log'!$B$4:$B$400=$B10)*('Booking Log'!$D$4:$D$400=$C10)*((((('Booking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10" s="11" t="n">
        <f aca="false">MIN(1,SUMPRODUCT(('Booking Log'!$A$4:$A$400=$A10)*('Booking Log'!$B$4:$B$400=$B10)*('Booking Log'!$D$4:$D$400=$C10)*((((('Booking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10" s="11" t="n">
        <f aca="false">MIN(1,SUMPRODUCT(('Booking Log'!$A$4:$A$400=$A10)*('Booking Log'!$B$4:$B$400=$B10)*('Booking Log'!$D$4:$D$400=$C10)*((((('Booking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10" s="11" t="n">
        <f aca="false">MIN(1,SUMPRODUCT(('Booking Log'!$A$4:$A$400=$A10)*('Booking Log'!$B$4:$B$400=$B10)*('Booking Log'!$D$4:$D$400=$C10)*((((('Booking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10" s="11" t="n">
        <f aca="false">MIN(1,SUMPRODUCT(('Booking Log'!$A$4:$A$400=$A10)*('Booking Log'!$B$4:$B$400=$B10)*('Booking Log'!$D$4:$D$400=$C10)*((((('Booking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10" s="11" t="n">
        <f aca="false">MIN(1,SUMPRODUCT(('Booking Log'!$A$4:$A$400=$A10)*('Booking Log'!$B$4:$B$400=$B10)*('Booking Log'!$D$4:$D$400=$C10)*((((('Booking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0.500000000000004</v>
      </c>
      <c r="M10" s="21" t="n">
        <f aca="false">SUM(D10:L10)</f>
        <v>3.5</v>
      </c>
    </row>
    <row r="11" customFormat="false" ht="15" hidden="false" customHeight="false" outlineLevel="0" collapsed="false">
      <c r="A11" s="26" t="s">
        <v>235</v>
      </c>
      <c r="B11" s="26" t="s">
        <v>43</v>
      </c>
      <c r="C11" s="26" t="s">
        <v>105</v>
      </c>
      <c r="D11" s="11" t="n">
        <f aca="false">MIN(1,SUMPRODUCT(('Booking Log'!$A$4:$A$400=$A11)*('Booking Log'!$B$4:$B$400=$B11)*('Booking Log'!$D$4:$D$400=$C11)*((((('Booking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1" s="11" t="n">
        <f aca="false">MIN(1,SUMPRODUCT(('Booking Log'!$A$4:$A$400=$A11)*('Booking Log'!$B$4:$B$400=$B11)*('Booking Log'!$D$4:$D$400=$C11)*((((('Booking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1" s="11" t="n">
        <f aca="false">MIN(1,SUMPRODUCT(('Booking Log'!$A$4:$A$400=$A11)*('Booking Log'!$B$4:$B$400=$B11)*('Booking Log'!$D$4:$D$400=$C11)*((((('Booking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11" s="11" t="n">
        <f aca="false">MIN(1,SUMPRODUCT(('Booking Log'!$A$4:$A$400=$A11)*('Booking Log'!$B$4:$B$400=$B11)*('Booking Log'!$D$4:$D$400=$C11)*((((('Booking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1</v>
      </c>
      <c r="H11" s="11" t="n">
        <f aca="false">MIN(1,SUMPRODUCT(('Booking Log'!$A$4:$A$400=$A11)*('Booking Log'!$B$4:$B$400=$B11)*('Booking Log'!$D$4:$D$400=$C11)*((((('Booking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11" s="11" t="n">
        <f aca="false">MIN(1,SUMPRODUCT(('Booking Log'!$A$4:$A$400=$A11)*('Booking Log'!$B$4:$B$400=$B11)*('Booking Log'!$D$4:$D$400=$C11)*((((('Booking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0.499999999999998</v>
      </c>
      <c r="J11" s="11" t="n">
        <f aca="false">MIN(1,SUMPRODUCT(('Booking Log'!$A$4:$A$400=$A11)*('Booking Log'!$B$4:$B$400=$B11)*('Booking Log'!$D$4:$D$400=$C11)*((((('Booking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0.83333333333333</v>
      </c>
      <c r="K11" s="11" t="n">
        <f aca="false">MIN(1,SUMPRODUCT(('Booking Log'!$A$4:$A$400=$A11)*('Booking Log'!$B$4:$B$400=$B11)*('Booking Log'!$D$4:$D$400=$C11)*((((('Booking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11" s="11" t="n">
        <f aca="false">MIN(1,SUMPRODUCT(('Booking Log'!$A$4:$A$400=$A11)*('Booking Log'!$B$4:$B$400=$B11)*('Booking Log'!$D$4:$D$400=$C11)*((((('Booking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11" s="21" t="n">
        <f aca="false">SUM(D11:L11)</f>
        <v>3.33333333333333</v>
      </c>
    </row>
    <row r="12" customFormat="false" ht="15" hidden="false" customHeight="false" outlineLevel="0" collapsed="false">
      <c r="A12" s="26" t="s">
        <v>235</v>
      </c>
      <c r="B12" s="26" t="s">
        <v>43</v>
      </c>
      <c r="C12" s="26" t="s">
        <v>117</v>
      </c>
      <c r="D12" s="11" t="n">
        <f aca="false">MIN(1,SUMPRODUCT(('Booking Log'!$A$4:$A$400=$A12)*('Booking Log'!$B$4:$B$400=$B12)*('Booking Log'!$D$4:$D$400=$C12)*((((('Booking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2" s="11" t="n">
        <f aca="false">MIN(1,SUMPRODUCT(('Booking Log'!$A$4:$A$400=$A12)*('Booking Log'!$B$4:$B$400=$B12)*('Booking Log'!$D$4:$D$400=$C12)*((((('Booking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0.500000000000004</v>
      </c>
      <c r="F12" s="11" t="n">
        <f aca="false">MIN(1,SUMPRODUCT(('Booking Log'!$A$4:$A$400=$A12)*('Booking Log'!$B$4:$B$400=$B12)*('Booking Log'!$D$4:$D$400=$C12)*((((('Booking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0.999999999999999</v>
      </c>
      <c r="G12" s="11" t="n">
        <f aca="false">MIN(1,SUMPRODUCT(('Booking Log'!$A$4:$A$400=$A12)*('Booking Log'!$B$4:$B$400=$B12)*('Booking Log'!$D$4:$D$400=$C12)*((((('Booking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12" s="11" t="n">
        <f aca="false">MIN(1,SUMPRODUCT(('Booking Log'!$A$4:$A$400=$A12)*('Booking Log'!$B$4:$B$400=$B12)*('Booking Log'!$D$4:$D$400=$C12)*((((('Booking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12" s="11" t="n">
        <f aca="false">MIN(1,SUMPRODUCT(('Booking Log'!$A$4:$A$400=$A12)*('Booking Log'!$B$4:$B$400=$B12)*('Booking Log'!$D$4:$D$400=$C12)*((((('Booking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12" s="11" t="n">
        <f aca="false">MIN(1,SUMPRODUCT(('Booking Log'!$A$4:$A$400=$A12)*('Booking Log'!$B$4:$B$400=$B12)*('Booking Log'!$D$4:$D$400=$C12)*((((('Booking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12" s="11" t="n">
        <f aca="false">MIN(1,SUMPRODUCT(('Booking Log'!$A$4:$A$400=$A12)*('Booking Log'!$B$4:$B$400=$B12)*('Booking Log'!$D$4:$D$400=$C12)*((((('Booking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12" s="11" t="n">
        <f aca="false">MIN(1,SUMPRODUCT(('Booking Log'!$A$4:$A$400=$A12)*('Booking Log'!$B$4:$B$400=$B12)*('Booking Log'!$D$4:$D$400=$C12)*((((('Booking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0.500000000000004</v>
      </c>
      <c r="M12" s="21" t="n">
        <f aca="false">SUM(D12:L12)</f>
        <v>5.00000000000001</v>
      </c>
    </row>
    <row r="13" customFormat="false" ht="15" hidden="false" customHeight="false" outlineLevel="0" collapsed="false">
      <c r="A13" s="26" t="s">
        <v>235</v>
      </c>
      <c r="B13" s="26" t="s">
        <v>43</v>
      </c>
      <c r="C13" s="26" t="s">
        <v>118</v>
      </c>
      <c r="D13" s="11" t="n">
        <f aca="false">MIN(1,SUMPRODUCT(('Booking Log'!$A$4:$A$400=$A13)*('Booking Log'!$B$4:$B$400=$B13)*('Booking Log'!$D$4:$D$400=$C13)*((((('Booking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3" s="11" t="n">
        <f aca="false">MIN(1,SUMPRODUCT(('Booking Log'!$A$4:$A$400=$A13)*('Booking Log'!$B$4:$B$400=$B13)*('Booking Log'!$D$4:$D$400=$C13)*((((('Booking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3" s="11" t="n">
        <f aca="false">MIN(1,SUMPRODUCT(('Booking Log'!$A$4:$A$400=$A13)*('Booking Log'!$B$4:$B$400=$B13)*('Booking Log'!$D$4:$D$400=$C13)*((((('Booking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3" s="11" t="n">
        <f aca="false">MIN(1,SUMPRODUCT(('Booking Log'!$A$4:$A$400=$A13)*('Booking Log'!$B$4:$B$400=$B13)*('Booking Log'!$D$4:$D$400=$C13)*((((('Booking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0.499999999999998</v>
      </c>
      <c r="H13" s="11" t="n">
        <f aca="false">MIN(1,SUMPRODUCT(('Booking Log'!$A$4:$A$400=$A13)*('Booking Log'!$B$4:$B$400=$B13)*('Booking Log'!$D$4:$D$400=$C13)*((((('Booking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13" s="11" t="n">
        <f aca="false">MIN(1,SUMPRODUCT(('Booking Log'!$A$4:$A$400=$A13)*('Booking Log'!$B$4:$B$400=$B13)*('Booking Log'!$D$4:$D$400=$C13)*((((('Booking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13" s="11" t="n">
        <f aca="false">MIN(1,SUMPRODUCT(('Booking Log'!$A$4:$A$400=$A13)*('Booking Log'!$B$4:$B$400=$B13)*('Booking Log'!$D$4:$D$400=$C13)*((((('Booking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13" s="11" t="n">
        <f aca="false">MIN(1,SUMPRODUCT(('Booking Log'!$A$4:$A$400=$A13)*('Booking Log'!$B$4:$B$400=$B13)*('Booking Log'!$D$4:$D$400=$C13)*((((('Booking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13" s="11" t="n">
        <f aca="false">MIN(1,SUMPRODUCT(('Booking Log'!$A$4:$A$400=$A13)*('Booking Log'!$B$4:$B$400=$B13)*('Booking Log'!$D$4:$D$400=$C13)*((((('Booking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13" s="21" t="n">
        <f aca="false">SUM(D13:L13)</f>
        <v>3.5</v>
      </c>
    </row>
    <row r="14" customFormat="false" ht="15" hidden="false" customHeight="false" outlineLevel="0" collapsed="false">
      <c r="A14" s="26" t="s">
        <v>235</v>
      </c>
      <c r="B14" s="26" t="s">
        <v>44</v>
      </c>
      <c r="C14" s="26" t="s">
        <v>70</v>
      </c>
      <c r="D14" s="11" t="n">
        <f aca="false">MIN(1,SUMPRODUCT(('Booking Log'!$A$4:$A$400=$A14)*('Booking Log'!$B$4:$B$400=$B14)*('Booking Log'!$D$4:$D$400=$C14)*((((('Booking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4" s="11" t="n">
        <f aca="false">MIN(1,SUMPRODUCT(('Booking Log'!$A$4:$A$400=$A14)*('Booking Log'!$B$4:$B$400=$B14)*('Booking Log'!$D$4:$D$400=$C14)*((((('Booking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4" s="11" t="n">
        <f aca="false">MIN(1,SUMPRODUCT(('Booking Log'!$A$4:$A$400=$A14)*('Booking Log'!$B$4:$B$400=$B14)*('Booking Log'!$D$4:$D$400=$C14)*((((('Booking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4" s="11" t="n">
        <f aca="false">MIN(1,SUMPRODUCT(('Booking Log'!$A$4:$A$400=$A14)*('Booking Log'!$B$4:$B$400=$B14)*('Booking Log'!$D$4:$D$400=$C14)*((((('Booking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14" s="11" t="n">
        <f aca="false">MIN(1,SUMPRODUCT(('Booking Log'!$A$4:$A$400=$A14)*('Booking Log'!$B$4:$B$400=$B14)*('Booking Log'!$D$4:$D$400=$C14)*((((('Booking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14" s="11" t="n">
        <f aca="false">MIN(1,SUMPRODUCT(('Booking Log'!$A$4:$A$400=$A14)*('Booking Log'!$B$4:$B$400=$B14)*('Booking Log'!$D$4:$D$400=$C14)*((((('Booking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14" s="11" t="n">
        <f aca="false">MIN(1,SUMPRODUCT(('Booking Log'!$A$4:$A$400=$A14)*('Booking Log'!$B$4:$B$400=$B14)*('Booking Log'!$D$4:$D$400=$C14)*((((('Booking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14" s="11" t="n">
        <f aca="false">MIN(1,SUMPRODUCT(('Booking Log'!$A$4:$A$400=$A14)*('Booking Log'!$B$4:$B$400=$B14)*('Booking Log'!$D$4:$D$400=$C14)*((((('Booking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14" s="11" t="n">
        <f aca="false">MIN(1,SUMPRODUCT(('Booking Log'!$A$4:$A$400=$A14)*('Booking Log'!$B$4:$B$400=$B14)*('Booking Log'!$D$4:$D$400=$C14)*((((('Booking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14" s="21" t="n">
        <f aca="false">SUM(D14:L14)</f>
        <v>2.49999999999999</v>
      </c>
    </row>
    <row r="15" customFormat="false" ht="15" hidden="false" customHeight="false" outlineLevel="0" collapsed="false">
      <c r="A15" s="26" t="s">
        <v>235</v>
      </c>
      <c r="B15" s="26" t="s">
        <v>44</v>
      </c>
      <c r="C15" s="26" t="s">
        <v>94</v>
      </c>
      <c r="D15" s="11" t="n">
        <f aca="false">MIN(1,SUMPRODUCT(('Booking Log'!$A$4:$A$400=$A15)*('Booking Log'!$B$4:$B$400=$B15)*('Booking Log'!$D$4:$D$400=$C15)*((((('Booking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5" s="11" t="n">
        <f aca="false">MIN(1,SUMPRODUCT(('Booking Log'!$A$4:$A$400=$A15)*('Booking Log'!$B$4:$B$400=$B15)*('Booking Log'!$D$4:$D$400=$C15)*((((('Booking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5" s="11" t="n">
        <f aca="false">MIN(1,SUMPRODUCT(('Booking Log'!$A$4:$A$400=$A15)*('Booking Log'!$B$4:$B$400=$B15)*('Booking Log'!$D$4:$D$400=$C15)*((((('Booking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5" s="11" t="n">
        <f aca="false">MIN(1,SUMPRODUCT(('Booking Log'!$A$4:$A$400=$A15)*('Booking Log'!$B$4:$B$400=$B15)*('Booking Log'!$D$4:$D$400=$C15)*((((('Booking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15" s="11" t="n">
        <f aca="false">MIN(1,SUMPRODUCT(('Booking Log'!$A$4:$A$400=$A15)*('Booking Log'!$B$4:$B$400=$B15)*('Booking Log'!$D$4:$D$400=$C15)*((((('Booking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15" s="11" t="n">
        <f aca="false">MIN(1,SUMPRODUCT(('Booking Log'!$A$4:$A$400=$A15)*('Booking Log'!$B$4:$B$400=$B15)*('Booking Log'!$D$4:$D$400=$C15)*((((('Booking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15" s="11" t="n">
        <f aca="false">MIN(1,SUMPRODUCT(('Booking Log'!$A$4:$A$400=$A15)*('Booking Log'!$B$4:$B$400=$B15)*('Booking Log'!$D$4:$D$400=$C15)*((((('Booking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15" s="11" t="n">
        <f aca="false">MIN(1,SUMPRODUCT(('Booking Log'!$A$4:$A$400=$A15)*('Booking Log'!$B$4:$B$400=$B15)*('Booking Log'!$D$4:$D$400=$C15)*((((('Booking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15" s="11" t="n">
        <f aca="false">MIN(1,SUMPRODUCT(('Booking Log'!$A$4:$A$400=$A15)*('Booking Log'!$B$4:$B$400=$B15)*('Booking Log'!$D$4:$D$400=$C15)*((((('Booking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0.500000000000004</v>
      </c>
      <c r="M15" s="21" t="n">
        <f aca="false">SUM(D15:L15)</f>
        <v>3.5</v>
      </c>
    </row>
    <row r="16" customFormat="false" ht="15" hidden="false" customHeight="false" outlineLevel="0" collapsed="false">
      <c r="A16" s="26" t="s">
        <v>235</v>
      </c>
      <c r="B16" s="26" t="s">
        <v>44</v>
      </c>
      <c r="C16" s="26" t="s">
        <v>105</v>
      </c>
      <c r="D16" s="11" t="n">
        <f aca="false">MIN(1,SUMPRODUCT(('Booking Log'!$A$4:$A$400=$A16)*('Booking Log'!$B$4:$B$400=$B16)*('Booking Log'!$D$4:$D$400=$C16)*((((('Booking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6" s="11" t="n">
        <f aca="false">MIN(1,SUMPRODUCT(('Booking Log'!$A$4:$A$400=$A16)*('Booking Log'!$B$4:$B$400=$B16)*('Booking Log'!$D$4:$D$400=$C16)*((((('Booking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6" s="11" t="n">
        <f aca="false">MIN(1,SUMPRODUCT(('Booking Log'!$A$4:$A$400=$A16)*('Booking Log'!$B$4:$B$400=$B16)*('Booking Log'!$D$4:$D$400=$C16)*((((('Booking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6" s="11" t="n">
        <f aca="false">MIN(1,SUMPRODUCT(('Booking Log'!$A$4:$A$400=$A16)*('Booking Log'!$B$4:$B$400=$B16)*('Booking Log'!$D$4:$D$400=$C16)*((((('Booking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16" s="11" t="n">
        <f aca="false">MIN(1,SUMPRODUCT(('Booking Log'!$A$4:$A$400=$A16)*('Booking Log'!$B$4:$B$400=$B16)*('Booking Log'!$D$4:$D$400=$C16)*((((('Booking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16" s="11" t="n">
        <f aca="false">MIN(1,SUMPRODUCT(('Booking Log'!$A$4:$A$400=$A16)*('Booking Log'!$B$4:$B$400=$B16)*('Booking Log'!$D$4:$D$400=$C16)*((((('Booking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0.250000000000004</v>
      </c>
      <c r="J16" s="11" t="n">
        <f aca="false">MIN(1,SUMPRODUCT(('Booking Log'!$A$4:$A$400=$A16)*('Booking Log'!$B$4:$B$400=$B16)*('Booking Log'!$D$4:$D$400=$C16)*((((('Booking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16" s="11" t="n">
        <f aca="false">MIN(1,SUMPRODUCT(('Booking Log'!$A$4:$A$400=$A16)*('Booking Log'!$B$4:$B$400=$B16)*('Booking Log'!$D$4:$D$400=$C16)*((((('Booking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16" s="11" t="n">
        <f aca="false">MIN(1,SUMPRODUCT(('Booking Log'!$A$4:$A$400=$A16)*('Booking Log'!$B$4:$B$400=$B16)*('Booking Log'!$D$4:$D$400=$C16)*((((('Booking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16" s="21" t="n">
        <f aca="false">SUM(D16:L16)</f>
        <v>1.25</v>
      </c>
    </row>
    <row r="17" customFormat="false" ht="15" hidden="false" customHeight="false" outlineLevel="0" collapsed="false">
      <c r="A17" s="26" t="s">
        <v>235</v>
      </c>
      <c r="B17" s="26" t="s">
        <v>44</v>
      </c>
      <c r="C17" s="26" t="s">
        <v>117</v>
      </c>
      <c r="D17" s="11" t="n">
        <f aca="false">MIN(1,SUMPRODUCT(('Booking Log'!$A$4:$A$400=$A17)*('Booking Log'!$B$4:$B$400=$B17)*('Booking Log'!$D$4:$D$400=$C17)*((((('Booking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7" s="11" t="n">
        <f aca="false">MIN(1,SUMPRODUCT(('Booking Log'!$A$4:$A$400=$A17)*('Booking Log'!$B$4:$B$400=$B17)*('Booking Log'!$D$4:$D$400=$C17)*((((('Booking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7" s="11" t="n">
        <f aca="false">MIN(1,SUMPRODUCT(('Booking Log'!$A$4:$A$400=$A17)*('Booking Log'!$B$4:$B$400=$B17)*('Booking Log'!$D$4:$D$400=$C17)*((((('Booking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7" s="11" t="n">
        <f aca="false">MIN(1,SUMPRODUCT(('Booking Log'!$A$4:$A$400=$A17)*('Booking Log'!$B$4:$B$400=$B17)*('Booking Log'!$D$4:$D$400=$C17)*((((('Booking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17" s="11" t="n">
        <f aca="false">MIN(1,SUMPRODUCT(('Booking Log'!$A$4:$A$400=$A17)*('Booking Log'!$B$4:$B$400=$B17)*('Booking Log'!$D$4:$D$400=$C17)*((((('Booking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17" s="11" t="n">
        <f aca="false">MIN(1,SUMPRODUCT(('Booking Log'!$A$4:$A$400=$A17)*('Booking Log'!$B$4:$B$400=$B17)*('Booking Log'!$D$4:$D$400=$C17)*((((('Booking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17" s="11" t="n">
        <f aca="false">MIN(1,SUMPRODUCT(('Booking Log'!$A$4:$A$400=$A17)*('Booking Log'!$B$4:$B$400=$B17)*('Booking Log'!$D$4:$D$400=$C17)*((((('Booking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17" s="11" t="n">
        <f aca="false">MIN(1,SUMPRODUCT(('Booking Log'!$A$4:$A$400=$A17)*('Booking Log'!$B$4:$B$400=$B17)*('Booking Log'!$D$4:$D$400=$C17)*((((('Booking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17" s="11" t="n">
        <f aca="false">MIN(1,SUMPRODUCT(('Booking Log'!$A$4:$A$400=$A17)*('Booking Log'!$B$4:$B$400=$B17)*('Booking Log'!$D$4:$D$400=$C17)*((((('Booking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17" s="21" t="n">
        <f aca="false">SUM(D17:L17)</f>
        <v>3.5</v>
      </c>
    </row>
    <row r="18" customFormat="false" ht="15" hidden="false" customHeight="false" outlineLevel="0" collapsed="false">
      <c r="A18" s="26" t="s">
        <v>235</v>
      </c>
      <c r="B18" s="26" t="s">
        <v>44</v>
      </c>
      <c r="C18" s="26" t="s">
        <v>118</v>
      </c>
      <c r="D18" s="11" t="n">
        <f aca="false">MIN(1,SUMPRODUCT(('Booking Log'!$A$4:$A$400=$A18)*('Booking Log'!$B$4:$B$400=$B18)*('Booking Log'!$D$4:$D$400=$C18)*((((('Booking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8" s="11" t="n">
        <f aca="false">MIN(1,SUMPRODUCT(('Booking Log'!$A$4:$A$400=$A18)*('Booking Log'!$B$4:$B$400=$B18)*('Booking Log'!$D$4:$D$400=$C18)*((((('Booking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8" s="11" t="n">
        <f aca="false">MIN(1,SUMPRODUCT(('Booking Log'!$A$4:$A$400=$A18)*('Booking Log'!$B$4:$B$400=$B18)*('Booking Log'!$D$4:$D$400=$C18)*((((('Booking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8" s="11" t="n">
        <f aca="false">MIN(1,SUMPRODUCT(('Booking Log'!$A$4:$A$400=$A18)*('Booking Log'!$B$4:$B$400=$B18)*('Booking Log'!$D$4:$D$400=$C18)*((((('Booking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0.499999999999998</v>
      </c>
      <c r="H18" s="11" t="n">
        <f aca="false">MIN(1,SUMPRODUCT(('Booking Log'!$A$4:$A$400=$A18)*('Booking Log'!$B$4:$B$400=$B18)*('Booking Log'!$D$4:$D$400=$C18)*((((('Booking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18" s="11" t="n">
        <f aca="false">MIN(1,SUMPRODUCT(('Booking Log'!$A$4:$A$400=$A18)*('Booking Log'!$B$4:$B$400=$B18)*('Booking Log'!$D$4:$D$400=$C18)*((((('Booking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18" s="11" t="n">
        <f aca="false">MIN(1,SUMPRODUCT(('Booking Log'!$A$4:$A$400=$A18)*('Booking Log'!$B$4:$B$400=$B18)*('Booking Log'!$D$4:$D$400=$C18)*((((('Booking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18" s="11" t="n">
        <f aca="false">MIN(1,SUMPRODUCT(('Booking Log'!$A$4:$A$400=$A18)*('Booking Log'!$B$4:$B$400=$B18)*('Booking Log'!$D$4:$D$400=$C18)*((((('Booking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18" s="11" t="n">
        <f aca="false">MIN(1,SUMPRODUCT(('Booking Log'!$A$4:$A$400=$A18)*('Booking Log'!$B$4:$B$400=$B18)*('Booking Log'!$D$4:$D$400=$C18)*((((('Booking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18" s="21" t="n">
        <f aca="false">SUM(D18:L18)</f>
        <v>3.5</v>
      </c>
    </row>
    <row r="19" customFormat="false" ht="15" hidden="false" customHeight="false" outlineLevel="0" collapsed="false">
      <c r="A19" s="26" t="s">
        <v>235</v>
      </c>
      <c r="B19" s="26" t="s">
        <v>45</v>
      </c>
      <c r="C19" s="26" t="s">
        <v>70</v>
      </c>
      <c r="D19" s="11" t="n">
        <f aca="false">MIN(1,SUMPRODUCT(('Booking Log'!$A$4:$A$400=$A19)*('Booking Log'!$B$4:$B$400=$B19)*('Booking Log'!$D$4:$D$400=$C19)*((((('Booking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19" s="11" t="n">
        <f aca="false">MIN(1,SUMPRODUCT(('Booking Log'!$A$4:$A$400=$A19)*('Booking Log'!$B$4:$B$400=$B19)*('Booking Log'!$D$4:$D$400=$C19)*((((('Booking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19" s="11" t="n">
        <f aca="false">MIN(1,SUMPRODUCT(('Booking Log'!$A$4:$A$400=$A19)*('Booking Log'!$B$4:$B$400=$B19)*('Booking Log'!$D$4:$D$400=$C19)*((((('Booking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19" s="11" t="n">
        <f aca="false">MIN(1,SUMPRODUCT(('Booking Log'!$A$4:$A$400=$A19)*('Booking Log'!$B$4:$B$400=$B19)*('Booking Log'!$D$4:$D$400=$C19)*((((('Booking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19" s="11" t="n">
        <f aca="false">MIN(1,SUMPRODUCT(('Booking Log'!$A$4:$A$400=$A19)*('Booking Log'!$B$4:$B$400=$B19)*('Booking Log'!$D$4:$D$400=$C19)*((((('Booking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19" s="11" t="n">
        <f aca="false">MIN(1,SUMPRODUCT(('Booking Log'!$A$4:$A$400=$A19)*('Booking Log'!$B$4:$B$400=$B19)*('Booking Log'!$D$4:$D$400=$C19)*((((('Booking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19" s="11" t="n">
        <f aca="false">MIN(1,SUMPRODUCT(('Booking Log'!$A$4:$A$400=$A19)*('Booking Log'!$B$4:$B$400=$B19)*('Booking Log'!$D$4:$D$400=$C19)*((((('Booking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0.499999999999996</v>
      </c>
      <c r="K19" s="11" t="n">
        <f aca="false">MIN(1,SUMPRODUCT(('Booking Log'!$A$4:$A$400=$A19)*('Booking Log'!$B$4:$B$400=$B19)*('Booking Log'!$D$4:$D$400=$C19)*((((('Booking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19" s="11" t="n">
        <f aca="false">MIN(1,SUMPRODUCT(('Booking Log'!$A$4:$A$400=$A19)*('Booking Log'!$B$4:$B$400=$B19)*('Booking Log'!$D$4:$D$400=$C19)*((((('Booking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19" s="21" t="n">
        <f aca="false">SUM(D19:L19)</f>
        <v>1.5</v>
      </c>
    </row>
    <row r="20" customFormat="false" ht="15" hidden="false" customHeight="false" outlineLevel="0" collapsed="false">
      <c r="A20" s="26" t="s">
        <v>235</v>
      </c>
      <c r="B20" s="26" t="s">
        <v>45</v>
      </c>
      <c r="C20" s="26" t="s">
        <v>94</v>
      </c>
      <c r="D20" s="11" t="n">
        <f aca="false">MIN(1,SUMPRODUCT(('Booking Log'!$A$4:$A$400=$A20)*('Booking Log'!$B$4:$B$400=$B20)*('Booking Log'!$D$4:$D$400=$C20)*((((('Booking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0" s="11" t="n">
        <f aca="false">MIN(1,SUMPRODUCT(('Booking Log'!$A$4:$A$400=$A20)*('Booking Log'!$B$4:$B$400=$B20)*('Booking Log'!$D$4:$D$400=$C20)*((((('Booking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20" s="11" t="n">
        <f aca="false">MIN(1,SUMPRODUCT(('Booking Log'!$A$4:$A$400=$A20)*('Booking Log'!$B$4:$B$400=$B20)*('Booking Log'!$D$4:$D$400=$C20)*((((('Booking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20" s="11" t="n">
        <f aca="false">MIN(1,SUMPRODUCT(('Booking Log'!$A$4:$A$400=$A20)*('Booking Log'!$B$4:$B$400=$B20)*('Booking Log'!$D$4:$D$400=$C20)*((((('Booking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20" s="11" t="n">
        <f aca="false">MIN(1,SUMPRODUCT(('Booking Log'!$A$4:$A$400=$A20)*('Booking Log'!$B$4:$B$400=$B20)*('Booking Log'!$D$4:$D$400=$C20)*((((('Booking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20" s="11" t="n">
        <f aca="false">MIN(1,SUMPRODUCT(('Booking Log'!$A$4:$A$400=$A20)*('Booking Log'!$B$4:$B$400=$B20)*('Booking Log'!$D$4:$D$400=$C20)*((((('Booking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20" s="11" t="n">
        <f aca="false">MIN(1,SUMPRODUCT(('Booking Log'!$A$4:$A$400=$A20)*('Booking Log'!$B$4:$B$400=$B20)*('Booking Log'!$D$4:$D$400=$C20)*((((('Booking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0" s="11" t="n">
        <f aca="false">MIN(1,SUMPRODUCT(('Booking Log'!$A$4:$A$400=$A20)*('Booking Log'!$B$4:$B$400=$B20)*('Booking Log'!$D$4:$D$400=$C20)*((((('Booking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20" s="11" t="n">
        <f aca="false">MIN(1,SUMPRODUCT(('Booking Log'!$A$4:$A$400=$A20)*('Booking Log'!$B$4:$B$400=$B20)*('Booking Log'!$D$4:$D$400=$C20)*((((('Booking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20" s="21" t="n">
        <f aca="false">SUM(D20:L20)</f>
        <v>2</v>
      </c>
    </row>
    <row r="21" customFormat="false" ht="15" hidden="false" customHeight="false" outlineLevel="0" collapsed="false">
      <c r="A21" s="26" t="s">
        <v>235</v>
      </c>
      <c r="B21" s="26" t="s">
        <v>45</v>
      </c>
      <c r="C21" s="26" t="s">
        <v>105</v>
      </c>
      <c r="D21" s="11" t="n">
        <f aca="false">MIN(1,SUMPRODUCT(('Booking Log'!$A$4:$A$400=$A21)*('Booking Log'!$B$4:$B$400=$B21)*('Booking Log'!$D$4:$D$400=$C21)*((((('Booking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1" s="11" t="n">
        <f aca="false">MIN(1,SUMPRODUCT(('Booking Log'!$A$4:$A$400=$A21)*('Booking Log'!$B$4:$B$400=$B21)*('Booking Log'!$D$4:$D$400=$C21)*((((('Booking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21" s="11" t="n">
        <f aca="false">MIN(1,SUMPRODUCT(('Booking Log'!$A$4:$A$400=$A21)*('Booking Log'!$B$4:$B$400=$B21)*('Booking Log'!$D$4:$D$400=$C21)*((((('Booking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21" s="11" t="n">
        <f aca="false">MIN(1,SUMPRODUCT(('Booking Log'!$A$4:$A$400=$A21)*('Booking Log'!$B$4:$B$400=$B21)*('Booking Log'!$D$4:$D$400=$C21)*((((('Booking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1</v>
      </c>
      <c r="H21" s="11" t="n">
        <f aca="false">MIN(1,SUMPRODUCT(('Booking Log'!$A$4:$A$400=$A21)*('Booking Log'!$B$4:$B$400=$B21)*('Booking Log'!$D$4:$D$400=$C21)*((((('Booking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21" s="11" t="n">
        <f aca="false">MIN(1,SUMPRODUCT(('Booking Log'!$A$4:$A$400=$A21)*('Booking Log'!$B$4:$B$400=$B21)*('Booking Log'!$D$4:$D$400=$C21)*((((('Booking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21" s="11" t="n">
        <f aca="false">MIN(1,SUMPRODUCT(('Booking Log'!$A$4:$A$400=$A21)*('Booking Log'!$B$4:$B$400=$B21)*('Booking Log'!$D$4:$D$400=$C21)*((((('Booking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1" s="11" t="n">
        <f aca="false">MIN(1,SUMPRODUCT(('Booking Log'!$A$4:$A$400=$A21)*('Booking Log'!$B$4:$B$400=$B21)*('Booking Log'!$D$4:$D$400=$C21)*((((('Booking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21" s="11" t="n">
        <f aca="false">MIN(1,SUMPRODUCT(('Booking Log'!$A$4:$A$400=$A21)*('Booking Log'!$B$4:$B$400=$B21)*('Booking Log'!$D$4:$D$400=$C21)*((((('Booking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21" s="21" t="n">
        <f aca="false">SUM(D21:L21)</f>
        <v>3</v>
      </c>
    </row>
    <row r="22" customFormat="false" ht="15" hidden="false" customHeight="false" outlineLevel="0" collapsed="false">
      <c r="A22" s="26" t="s">
        <v>235</v>
      </c>
      <c r="B22" s="26" t="s">
        <v>45</v>
      </c>
      <c r="C22" s="26" t="s">
        <v>117</v>
      </c>
      <c r="D22" s="11" t="n">
        <f aca="false">MIN(1,SUMPRODUCT(('Booking Log'!$A$4:$A$400=$A22)*('Booking Log'!$B$4:$B$400=$B22)*('Booking Log'!$D$4:$D$400=$C22)*((((('Booking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2" s="11" t="n">
        <f aca="false">MIN(1,SUMPRODUCT(('Booking Log'!$A$4:$A$400=$A22)*('Booking Log'!$B$4:$B$400=$B22)*('Booking Log'!$D$4:$D$400=$C22)*((((('Booking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22" s="11" t="n">
        <f aca="false">MIN(1,SUMPRODUCT(('Booking Log'!$A$4:$A$400=$A22)*('Booking Log'!$B$4:$B$400=$B22)*('Booking Log'!$D$4:$D$400=$C22)*((((('Booking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22" s="11" t="n">
        <f aca="false">MIN(1,SUMPRODUCT(('Booking Log'!$A$4:$A$400=$A22)*('Booking Log'!$B$4:$B$400=$B22)*('Booking Log'!$D$4:$D$400=$C22)*((((('Booking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22" s="11" t="n">
        <f aca="false">MIN(1,SUMPRODUCT(('Booking Log'!$A$4:$A$400=$A22)*('Booking Log'!$B$4:$B$400=$B22)*('Booking Log'!$D$4:$D$400=$C22)*((((('Booking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22" s="11" t="n">
        <f aca="false">MIN(1,SUMPRODUCT(('Booking Log'!$A$4:$A$400=$A22)*('Booking Log'!$B$4:$B$400=$B22)*('Booking Log'!$D$4:$D$400=$C22)*((((('Booking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22" s="11" t="n">
        <f aca="false">MIN(1,SUMPRODUCT(('Booking Log'!$A$4:$A$400=$A22)*('Booking Log'!$B$4:$B$400=$B22)*('Booking Log'!$D$4:$D$400=$C22)*((((('Booking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2" s="11" t="n">
        <f aca="false">MIN(1,SUMPRODUCT(('Booking Log'!$A$4:$A$400=$A22)*('Booking Log'!$B$4:$B$400=$B22)*('Booking Log'!$D$4:$D$400=$C22)*((((('Booking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22" s="11" t="n">
        <f aca="false">MIN(1,SUMPRODUCT(('Booking Log'!$A$4:$A$400=$A22)*('Booking Log'!$B$4:$B$400=$B22)*('Booking Log'!$D$4:$D$400=$C22)*((((('Booking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22" s="21" t="n">
        <f aca="false">SUM(D22:L22)</f>
        <v>2.5</v>
      </c>
    </row>
    <row r="23" customFormat="false" ht="15" hidden="false" customHeight="false" outlineLevel="0" collapsed="false">
      <c r="A23" s="26" t="s">
        <v>235</v>
      </c>
      <c r="B23" s="26" t="s">
        <v>45</v>
      </c>
      <c r="C23" s="26" t="s">
        <v>118</v>
      </c>
      <c r="D23" s="11" t="n">
        <f aca="false">MIN(1,SUMPRODUCT(('Booking Log'!$A$4:$A$400=$A23)*('Booking Log'!$B$4:$B$400=$B23)*('Booking Log'!$D$4:$D$400=$C23)*((((('Booking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3" s="11" t="n">
        <f aca="false">MIN(1,SUMPRODUCT(('Booking Log'!$A$4:$A$400=$A23)*('Booking Log'!$B$4:$B$400=$B23)*('Booking Log'!$D$4:$D$400=$C23)*((((('Booking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23" s="11" t="n">
        <f aca="false">MIN(1,SUMPRODUCT(('Booking Log'!$A$4:$A$400=$A23)*('Booking Log'!$B$4:$B$400=$B23)*('Booking Log'!$D$4:$D$400=$C23)*((((('Booking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23" s="11" t="n">
        <f aca="false">MIN(1,SUMPRODUCT(('Booking Log'!$A$4:$A$400=$A23)*('Booking Log'!$B$4:$B$400=$B23)*('Booking Log'!$D$4:$D$400=$C23)*((((('Booking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23" s="11" t="n">
        <f aca="false">MIN(1,SUMPRODUCT(('Booking Log'!$A$4:$A$400=$A23)*('Booking Log'!$B$4:$B$400=$B23)*('Booking Log'!$D$4:$D$400=$C23)*((((('Booking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23" s="11" t="n">
        <f aca="false">MIN(1,SUMPRODUCT(('Booking Log'!$A$4:$A$400=$A23)*('Booking Log'!$B$4:$B$400=$B23)*('Booking Log'!$D$4:$D$400=$C23)*((((('Booking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23" s="11" t="n">
        <f aca="false">MIN(1,SUMPRODUCT(('Booking Log'!$A$4:$A$400=$A23)*('Booking Log'!$B$4:$B$400=$B23)*('Booking Log'!$D$4:$D$400=$C23)*((((('Booking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3" s="11" t="n">
        <f aca="false">MIN(1,SUMPRODUCT(('Booking Log'!$A$4:$A$400=$A23)*('Booking Log'!$B$4:$B$400=$B23)*('Booking Log'!$D$4:$D$400=$C23)*((((('Booking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23" s="11" t="n">
        <f aca="false">MIN(1,SUMPRODUCT(('Booking Log'!$A$4:$A$400=$A23)*('Booking Log'!$B$4:$B$400=$B23)*('Booking Log'!$D$4:$D$400=$C23)*((((('Booking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23" s="21" t="n">
        <f aca="false">SUM(D23:L23)</f>
        <v>0</v>
      </c>
    </row>
    <row r="24" customFormat="false" ht="15" hidden="false" customHeight="false" outlineLevel="0" collapsed="false">
      <c r="A24" s="26" t="s">
        <v>236</v>
      </c>
      <c r="B24" s="26" t="s">
        <v>42</v>
      </c>
      <c r="C24" s="26" t="s">
        <v>70</v>
      </c>
      <c r="D24" s="11" t="n">
        <f aca="false">MIN(1,SUMPRODUCT(('Booking Log'!$A$4:$A$400=$A24)*('Booking Log'!$B$4:$B$400=$B24)*('Booking Log'!$D$4:$D$400=$C24)*((((('Booking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0.5</v>
      </c>
      <c r="E24" s="11" t="n">
        <f aca="false">MIN(1,SUMPRODUCT(('Booking Log'!$A$4:$A$400=$A24)*('Booking Log'!$B$4:$B$400=$B24)*('Booking Log'!$D$4:$D$400=$C24)*((((('Booking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24" s="11" t="n">
        <f aca="false">MIN(1,SUMPRODUCT(('Booking Log'!$A$4:$A$400=$A24)*('Booking Log'!$B$4:$B$400=$B24)*('Booking Log'!$D$4:$D$400=$C24)*((((('Booking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0.5</v>
      </c>
      <c r="G24" s="11" t="n">
        <f aca="false">MIN(1,SUMPRODUCT(('Booking Log'!$A$4:$A$400=$A24)*('Booking Log'!$B$4:$B$400=$B24)*('Booking Log'!$D$4:$D$400=$C24)*((((('Booking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24" s="11" t="n">
        <f aca="false">MIN(1,SUMPRODUCT(('Booking Log'!$A$4:$A$400=$A24)*('Booking Log'!$B$4:$B$400=$B24)*('Booking Log'!$D$4:$D$400=$C24)*((((('Booking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24" s="11" t="n">
        <f aca="false">MIN(1,SUMPRODUCT(('Booking Log'!$A$4:$A$400=$A24)*('Booking Log'!$B$4:$B$400=$B24)*('Booking Log'!$D$4:$D$400=$C24)*((((('Booking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24" s="11" t="n">
        <f aca="false">MIN(1,SUMPRODUCT(('Booking Log'!$A$4:$A$400=$A24)*('Booking Log'!$B$4:$B$400=$B24)*('Booking Log'!$D$4:$D$400=$C24)*((((('Booking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4" s="11" t="n">
        <f aca="false">MIN(1,SUMPRODUCT(('Booking Log'!$A$4:$A$400=$A24)*('Booking Log'!$B$4:$B$400=$B24)*('Booking Log'!$D$4:$D$400=$C24)*((((('Booking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24" s="11" t="n">
        <f aca="false">MIN(1,SUMPRODUCT(('Booking Log'!$A$4:$A$400=$A24)*('Booking Log'!$B$4:$B$400=$B24)*('Booking Log'!$D$4:$D$400=$C24)*((((('Booking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24" s="21" t="n">
        <f aca="false">SUM(D24:L24)</f>
        <v>5</v>
      </c>
    </row>
    <row r="25" customFormat="false" ht="15" hidden="false" customHeight="false" outlineLevel="0" collapsed="false">
      <c r="A25" s="26" t="s">
        <v>236</v>
      </c>
      <c r="B25" s="26" t="s">
        <v>42</v>
      </c>
      <c r="C25" s="26" t="s">
        <v>94</v>
      </c>
      <c r="D25" s="11" t="n">
        <f aca="false">MIN(1,SUMPRODUCT(('Booking Log'!$A$4:$A$400=$A25)*('Booking Log'!$B$4:$B$400=$B25)*('Booking Log'!$D$4:$D$400=$C25)*((((('Booking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5" s="11" t="n">
        <f aca="false">MIN(1,SUMPRODUCT(('Booking Log'!$A$4:$A$400=$A25)*('Booking Log'!$B$4:$B$400=$B25)*('Booking Log'!$D$4:$D$400=$C25)*((((('Booking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0.999999999999999</v>
      </c>
      <c r="F25" s="11" t="n">
        <f aca="false">MIN(1,SUMPRODUCT(('Booking Log'!$A$4:$A$400=$A25)*('Booking Log'!$B$4:$B$400=$B25)*('Booking Log'!$D$4:$D$400=$C25)*((((('Booking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0.999999999999999</v>
      </c>
      <c r="G25" s="11" t="n">
        <f aca="false">MIN(1,SUMPRODUCT(('Booking Log'!$A$4:$A$400=$A25)*('Booking Log'!$B$4:$B$400=$B25)*('Booking Log'!$D$4:$D$400=$C25)*((((('Booking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1</v>
      </c>
      <c r="H25" s="11" t="n">
        <f aca="false">MIN(1,SUMPRODUCT(('Booking Log'!$A$4:$A$400=$A25)*('Booking Log'!$B$4:$B$400=$B25)*('Booking Log'!$D$4:$D$400=$C25)*((((('Booking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0.500000000000001</v>
      </c>
      <c r="I25" s="11" t="n">
        <f aca="false">MIN(1,SUMPRODUCT(('Booking Log'!$A$4:$A$400=$A25)*('Booking Log'!$B$4:$B$400=$B25)*('Booking Log'!$D$4:$D$400=$C25)*((((('Booking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25" s="11" t="n">
        <f aca="false">MIN(1,SUMPRODUCT(('Booking Log'!$A$4:$A$400=$A25)*('Booking Log'!$B$4:$B$400=$B25)*('Booking Log'!$D$4:$D$400=$C25)*((((('Booking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25" s="11" t="n">
        <f aca="false">MIN(1,SUMPRODUCT(('Booking Log'!$A$4:$A$400=$A25)*('Booking Log'!$B$4:$B$400=$B25)*('Booking Log'!$D$4:$D$400=$C25)*((((('Booking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25" s="11" t="n">
        <f aca="false">MIN(1,SUMPRODUCT(('Booking Log'!$A$4:$A$400=$A25)*('Booking Log'!$B$4:$B$400=$B25)*('Booking Log'!$D$4:$D$400=$C25)*((((('Booking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0.500000000000004</v>
      </c>
      <c r="M25" s="21" t="n">
        <f aca="false">SUM(D25:L25)</f>
        <v>7</v>
      </c>
    </row>
    <row r="26" customFormat="false" ht="15" hidden="false" customHeight="false" outlineLevel="0" collapsed="false">
      <c r="A26" s="26" t="s">
        <v>236</v>
      </c>
      <c r="B26" s="26" t="s">
        <v>42</v>
      </c>
      <c r="C26" s="26" t="s">
        <v>105</v>
      </c>
      <c r="D26" s="11" t="n">
        <f aca="false">MIN(1,SUMPRODUCT(('Booking Log'!$A$4:$A$400=$A26)*('Booking Log'!$B$4:$B$400=$B26)*('Booking Log'!$D$4:$D$400=$C26)*((((('Booking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6" s="11" t="n">
        <f aca="false">MIN(1,SUMPRODUCT(('Booking Log'!$A$4:$A$400=$A26)*('Booking Log'!$B$4:$B$400=$B26)*('Booking Log'!$D$4:$D$400=$C26)*((((('Booking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26" s="11" t="n">
        <f aca="false">MIN(1,SUMPRODUCT(('Booking Log'!$A$4:$A$400=$A26)*('Booking Log'!$B$4:$B$400=$B26)*('Booking Log'!$D$4:$D$400=$C26)*((((('Booking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26" s="11" t="n">
        <f aca="false">MIN(1,SUMPRODUCT(('Booking Log'!$A$4:$A$400=$A26)*('Booking Log'!$B$4:$B$400=$B26)*('Booking Log'!$D$4:$D$400=$C26)*((((('Booking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26" s="11" t="n">
        <f aca="false">MIN(1,SUMPRODUCT(('Booking Log'!$A$4:$A$400=$A26)*('Booking Log'!$B$4:$B$400=$B26)*('Booking Log'!$D$4:$D$400=$C26)*((((('Booking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26" s="11" t="n">
        <f aca="false">MIN(1,SUMPRODUCT(('Booking Log'!$A$4:$A$400=$A26)*('Booking Log'!$B$4:$B$400=$B26)*('Booking Log'!$D$4:$D$400=$C26)*((((('Booking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0.250000000000004</v>
      </c>
      <c r="J26" s="11" t="n">
        <f aca="false">MIN(1,SUMPRODUCT(('Booking Log'!$A$4:$A$400=$A26)*('Booking Log'!$B$4:$B$400=$B26)*('Booking Log'!$D$4:$D$400=$C26)*((((('Booking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6" s="11" t="n">
        <f aca="false">MIN(1,SUMPRODUCT(('Booking Log'!$A$4:$A$400=$A26)*('Booking Log'!$B$4:$B$400=$B26)*('Booking Log'!$D$4:$D$400=$C26)*((((('Booking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26" s="11" t="n">
        <f aca="false">MIN(1,SUMPRODUCT(('Booking Log'!$A$4:$A$400=$A26)*('Booking Log'!$B$4:$B$400=$B26)*('Booking Log'!$D$4:$D$400=$C26)*((((('Booking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26" s="21" t="n">
        <f aca="false">SUM(D26:L26)</f>
        <v>1.25</v>
      </c>
    </row>
    <row r="27" customFormat="false" ht="15" hidden="false" customHeight="false" outlineLevel="0" collapsed="false">
      <c r="A27" s="26" t="s">
        <v>236</v>
      </c>
      <c r="B27" s="26" t="s">
        <v>42</v>
      </c>
      <c r="C27" s="26" t="s">
        <v>117</v>
      </c>
      <c r="D27" s="11" t="n">
        <f aca="false">MIN(1,SUMPRODUCT(('Booking Log'!$A$4:$A$400=$A27)*('Booking Log'!$B$4:$B$400=$B27)*('Booking Log'!$D$4:$D$400=$C27)*((((('Booking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7" s="11" t="n">
        <f aca="false">MIN(1,SUMPRODUCT(('Booking Log'!$A$4:$A$400=$A27)*('Booking Log'!$B$4:$B$400=$B27)*('Booking Log'!$D$4:$D$400=$C27)*((((('Booking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0.999999999999999</v>
      </c>
      <c r="F27" s="11" t="n">
        <f aca="false">MIN(1,SUMPRODUCT(('Booking Log'!$A$4:$A$400=$A27)*('Booking Log'!$B$4:$B$400=$B27)*('Booking Log'!$D$4:$D$400=$C27)*((((('Booking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0.999999999999999</v>
      </c>
      <c r="G27" s="11" t="n">
        <f aca="false">MIN(1,SUMPRODUCT(('Booking Log'!$A$4:$A$400=$A27)*('Booking Log'!$B$4:$B$400=$B27)*('Booking Log'!$D$4:$D$400=$C27)*((((('Booking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1</v>
      </c>
      <c r="H27" s="11" t="n">
        <f aca="false">MIN(1,SUMPRODUCT(('Booking Log'!$A$4:$A$400=$A27)*('Booking Log'!$B$4:$B$400=$B27)*('Booking Log'!$D$4:$D$400=$C27)*((((('Booking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1</v>
      </c>
      <c r="I27" s="11" t="n">
        <f aca="false">MIN(1,SUMPRODUCT(('Booking Log'!$A$4:$A$400=$A27)*('Booking Log'!$B$4:$B$400=$B27)*('Booking Log'!$D$4:$D$400=$C27)*((((('Booking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27" s="11" t="n">
        <f aca="false">MIN(1,SUMPRODUCT(('Booking Log'!$A$4:$A$400=$A27)*('Booking Log'!$B$4:$B$400=$B27)*('Booking Log'!$D$4:$D$400=$C27)*((((('Booking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7" s="11" t="n">
        <f aca="false">MIN(1,SUMPRODUCT(('Booking Log'!$A$4:$A$400=$A27)*('Booking Log'!$B$4:$B$400=$B27)*('Booking Log'!$D$4:$D$400=$C27)*((((('Booking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27" s="11" t="n">
        <f aca="false">MIN(1,SUMPRODUCT(('Booking Log'!$A$4:$A$400=$A27)*('Booking Log'!$B$4:$B$400=$B27)*('Booking Log'!$D$4:$D$400=$C27)*((((('Booking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27" s="21" t="n">
        <f aca="false">SUM(D27:L27)</f>
        <v>5.5</v>
      </c>
    </row>
    <row r="28" customFormat="false" ht="15" hidden="false" customHeight="false" outlineLevel="0" collapsed="false">
      <c r="A28" s="26" t="s">
        <v>236</v>
      </c>
      <c r="B28" s="26" t="s">
        <v>42</v>
      </c>
      <c r="C28" s="26" t="s">
        <v>118</v>
      </c>
      <c r="D28" s="11" t="n">
        <f aca="false">MIN(1,SUMPRODUCT(('Booking Log'!$A$4:$A$400=$A28)*('Booking Log'!$B$4:$B$400=$B28)*('Booking Log'!$D$4:$D$400=$C28)*((((('Booking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8" s="11" t="n">
        <f aca="false">MIN(1,SUMPRODUCT(('Booking Log'!$A$4:$A$400=$A28)*('Booking Log'!$B$4:$B$400=$B28)*('Booking Log'!$D$4:$D$400=$C28)*((((('Booking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28" s="11" t="n">
        <f aca="false">MIN(1,SUMPRODUCT(('Booking Log'!$A$4:$A$400=$A28)*('Booking Log'!$B$4:$B$400=$B28)*('Booking Log'!$D$4:$D$400=$C28)*((((('Booking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28" s="11" t="n">
        <f aca="false">MIN(1,SUMPRODUCT(('Booking Log'!$A$4:$A$400=$A28)*('Booking Log'!$B$4:$B$400=$B28)*('Booking Log'!$D$4:$D$400=$C28)*((((('Booking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28" s="11" t="n">
        <f aca="false">MIN(1,SUMPRODUCT(('Booking Log'!$A$4:$A$400=$A28)*('Booking Log'!$B$4:$B$400=$B28)*('Booking Log'!$D$4:$D$400=$C28)*((((('Booking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28" s="11" t="n">
        <f aca="false">MIN(1,SUMPRODUCT(('Booking Log'!$A$4:$A$400=$A28)*('Booking Log'!$B$4:$B$400=$B28)*('Booking Log'!$D$4:$D$400=$C28)*((((('Booking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28" s="11" t="n">
        <f aca="false">MIN(1,SUMPRODUCT(('Booking Log'!$A$4:$A$400=$A28)*('Booking Log'!$B$4:$B$400=$B28)*('Booking Log'!$D$4:$D$400=$C28)*((((('Booking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28" s="11" t="n">
        <f aca="false">MIN(1,SUMPRODUCT(('Booking Log'!$A$4:$A$400=$A28)*('Booking Log'!$B$4:$B$400=$B28)*('Booking Log'!$D$4:$D$400=$C28)*((((('Booking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28" s="11" t="n">
        <f aca="false">MIN(1,SUMPRODUCT(('Booking Log'!$A$4:$A$400=$A28)*('Booking Log'!$B$4:$B$400=$B28)*('Booking Log'!$D$4:$D$400=$C28)*((((('Booking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28" s="21" t="n">
        <f aca="false">SUM(D28:L28)</f>
        <v>2</v>
      </c>
    </row>
    <row r="29" customFormat="false" ht="15" hidden="false" customHeight="false" outlineLevel="0" collapsed="false">
      <c r="A29" s="26" t="s">
        <v>236</v>
      </c>
      <c r="B29" s="26" t="s">
        <v>43</v>
      </c>
      <c r="C29" s="26" t="s">
        <v>70</v>
      </c>
      <c r="D29" s="11" t="n">
        <f aca="false">MIN(1,SUMPRODUCT(('Booking Log'!$A$4:$A$400=$A29)*('Booking Log'!$B$4:$B$400=$B29)*('Booking Log'!$D$4:$D$400=$C29)*((((('Booking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29" s="11" t="n">
        <f aca="false">MIN(1,SUMPRODUCT(('Booking Log'!$A$4:$A$400=$A29)*('Booking Log'!$B$4:$B$400=$B29)*('Booking Log'!$D$4:$D$400=$C29)*((((('Booking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29" s="11" t="n">
        <f aca="false">MIN(1,SUMPRODUCT(('Booking Log'!$A$4:$A$400=$A29)*('Booking Log'!$B$4:$B$400=$B29)*('Booking Log'!$D$4:$D$400=$C29)*((((('Booking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29" s="11" t="n">
        <f aca="false">MIN(1,SUMPRODUCT(('Booking Log'!$A$4:$A$400=$A29)*('Booking Log'!$B$4:$B$400=$B29)*('Booking Log'!$D$4:$D$400=$C29)*((((('Booking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29" s="11" t="n">
        <f aca="false">MIN(1,SUMPRODUCT(('Booking Log'!$A$4:$A$400=$A29)*('Booking Log'!$B$4:$B$400=$B29)*('Booking Log'!$D$4:$D$400=$C29)*((((('Booking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29" s="11" t="n">
        <f aca="false">MIN(1,SUMPRODUCT(('Booking Log'!$A$4:$A$400=$A29)*('Booking Log'!$B$4:$B$400=$B29)*('Booking Log'!$D$4:$D$400=$C29)*((((('Booking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0.499999999999998</v>
      </c>
      <c r="J29" s="11" t="n">
        <f aca="false">MIN(1,SUMPRODUCT(('Booking Log'!$A$4:$A$400=$A29)*('Booking Log'!$B$4:$B$400=$B29)*('Booking Log'!$D$4:$D$400=$C29)*((((('Booking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0.83333333333333</v>
      </c>
      <c r="K29" s="11" t="n">
        <f aca="false">MIN(1,SUMPRODUCT(('Booking Log'!$A$4:$A$400=$A29)*('Booking Log'!$B$4:$B$400=$B29)*('Booking Log'!$D$4:$D$400=$C29)*((((('Booking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29" s="11" t="n">
        <f aca="false">MIN(1,SUMPRODUCT(('Booking Log'!$A$4:$A$400=$A29)*('Booking Log'!$B$4:$B$400=$B29)*('Booking Log'!$D$4:$D$400=$C29)*((((('Booking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29" s="21" t="n">
        <f aca="false">SUM(D29:L29)</f>
        <v>3.83333333333332</v>
      </c>
    </row>
    <row r="30" customFormat="false" ht="15" hidden="false" customHeight="false" outlineLevel="0" collapsed="false">
      <c r="A30" s="26" t="s">
        <v>236</v>
      </c>
      <c r="B30" s="26" t="s">
        <v>43</v>
      </c>
      <c r="C30" s="26" t="s">
        <v>94</v>
      </c>
      <c r="D30" s="11" t="n">
        <f aca="false">MIN(1,SUMPRODUCT(('Booking Log'!$A$4:$A$400=$A30)*('Booking Log'!$B$4:$B$400=$B30)*('Booking Log'!$D$4:$D$400=$C30)*((((('Booking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0" s="11" t="n">
        <f aca="false">MIN(1,SUMPRODUCT(('Booking Log'!$A$4:$A$400=$A30)*('Booking Log'!$B$4:$B$400=$B30)*('Booking Log'!$D$4:$D$400=$C30)*((((('Booking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0" s="11" t="n">
        <f aca="false">MIN(1,SUMPRODUCT(('Booking Log'!$A$4:$A$400=$A30)*('Booking Log'!$B$4:$B$400=$B30)*('Booking Log'!$D$4:$D$400=$C30)*((((('Booking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0" s="11" t="n">
        <f aca="false">MIN(1,SUMPRODUCT(('Booking Log'!$A$4:$A$400=$A30)*('Booking Log'!$B$4:$B$400=$B30)*('Booking Log'!$D$4:$D$400=$C30)*((((('Booking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0.999999999999999</v>
      </c>
      <c r="H30" s="11" t="n">
        <f aca="false">MIN(1,SUMPRODUCT(('Booking Log'!$A$4:$A$400=$A30)*('Booking Log'!$B$4:$B$400=$B30)*('Booking Log'!$D$4:$D$400=$C30)*((((('Booking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1</v>
      </c>
      <c r="I30" s="11" t="n">
        <f aca="false">MIN(1,SUMPRODUCT(('Booking Log'!$A$4:$A$400=$A30)*('Booking Log'!$B$4:$B$400=$B30)*('Booking Log'!$D$4:$D$400=$C30)*((((('Booking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30" s="11" t="n">
        <f aca="false">MIN(1,SUMPRODUCT(('Booking Log'!$A$4:$A$400=$A30)*('Booking Log'!$B$4:$B$400=$B30)*('Booking Log'!$D$4:$D$400=$C30)*((((('Booking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30" s="11" t="n">
        <f aca="false">MIN(1,SUMPRODUCT(('Booking Log'!$A$4:$A$400=$A30)*('Booking Log'!$B$4:$B$400=$B30)*('Booking Log'!$D$4:$D$400=$C30)*((((('Booking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30" s="11" t="n">
        <f aca="false">MIN(1,SUMPRODUCT(('Booking Log'!$A$4:$A$400=$A30)*('Booking Log'!$B$4:$B$400=$B30)*('Booking Log'!$D$4:$D$400=$C30)*((((('Booking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30" s="21" t="n">
        <f aca="false">SUM(D30:L30)</f>
        <v>6</v>
      </c>
    </row>
    <row r="31" customFormat="false" ht="15" hidden="false" customHeight="false" outlineLevel="0" collapsed="false">
      <c r="A31" s="26" t="s">
        <v>236</v>
      </c>
      <c r="B31" s="26" t="s">
        <v>43</v>
      </c>
      <c r="C31" s="26" t="s">
        <v>105</v>
      </c>
      <c r="D31" s="11" t="n">
        <f aca="false">MIN(1,SUMPRODUCT(('Booking Log'!$A$4:$A$400=$A31)*('Booking Log'!$B$4:$B$400=$B31)*('Booking Log'!$D$4:$D$400=$C31)*((((('Booking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1" s="11" t="n">
        <f aca="false">MIN(1,SUMPRODUCT(('Booking Log'!$A$4:$A$400=$A31)*('Booking Log'!$B$4:$B$400=$B31)*('Booking Log'!$D$4:$D$400=$C31)*((((('Booking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0.500000000000004</v>
      </c>
      <c r="F31" s="11" t="n">
        <f aca="false">MIN(1,SUMPRODUCT(('Booking Log'!$A$4:$A$400=$A31)*('Booking Log'!$B$4:$B$400=$B31)*('Booking Log'!$D$4:$D$400=$C31)*((((('Booking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0.333333333333334</v>
      </c>
      <c r="G31" s="11" t="n">
        <f aca="false">MIN(1,SUMPRODUCT(('Booking Log'!$A$4:$A$400=$A31)*('Booking Log'!$B$4:$B$400=$B31)*('Booking Log'!$D$4:$D$400=$C31)*((((('Booking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31" s="11" t="n">
        <f aca="false">MIN(1,SUMPRODUCT(('Booking Log'!$A$4:$A$400=$A31)*('Booking Log'!$B$4:$B$400=$B31)*('Booking Log'!$D$4:$D$400=$C31)*((((('Booking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31" s="11" t="n">
        <f aca="false">MIN(1,SUMPRODUCT(('Booking Log'!$A$4:$A$400=$A31)*('Booking Log'!$B$4:$B$400=$B31)*('Booking Log'!$D$4:$D$400=$C31)*((((('Booking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0.750000000000003</v>
      </c>
      <c r="J31" s="11" t="n">
        <f aca="false">MIN(1,SUMPRODUCT(('Booking Log'!$A$4:$A$400=$A31)*('Booking Log'!$B$4:$B$400=$B31)*('Booking Log'!$D$4:$D$400=$C31)*((((('Booking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0.83333333333333</v>
      </c>
      <c r="K31" s="11" t="n">
        <f aca="false">MIN(1,SUMPRODUCT(('Booking Log'!$A$4:$A$400=$A31)*('Booking Log'!$B$4:$B$400=$B31)*('Booking Log'!$D$4:$D$400=$C31)*((((('Booking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31" s="11" t="n">
        <f aca="false">MIN(1,SUMPRODUCT(('Booking Log'!$A$4:$A$400=$A31)*('Booking Log'!$B$4:$B$400=$B31)*('Booking Log'!$D$4:$D$400=$C31)*((((('Booking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31" s="21" t="n">
        <f aca="false">SUM(D31:L31)</f>
        <v>3.41666666666667</v>
      </c>
    </row>
    <row r="32" customFormat="false" ht="15" hidden="false" customHeight="false" outlineLevel="0" collapsed="false">
      <c r="A32" s="26" t="s">
        <v>236</v>
      </c>
      <c r="B32" s="26" t="s">
        <v>43</v>
      </c>
      <c r="C32" s="26" t="s">
        <v>117</v>
      </c>
      <c r="D32" s="11" t="n">
        <f aca="false">MIN(1,SUMPRODUCT(('Booking Log'!$A$4:$A$400=$A32)*('Booking Log'!$B$4:$B$400=$B32)*('Booking Log'!$D$4:$D$400=$C32)*((((('Booking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2" s="11" t="n">
        <f aca="false">MIN(1,SUMPRODUCT(('Booking Log'!$A$4:$A$400=$A32)*('Booking Log'!$B$4:$B$400=$B32)*('Booking Log'!$D$4:$D$400=$C32)*((((('Booking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2" s="11" t="n">
        <f aca="false">MIN(1,SUMPRODUCT(('Booking Log'!$A$4:$A$400=$A32)*('Booking Log'!$B$4:$B$400=$B32)*('Booking Log'!$D$4:$D$400=$C32)*((((('Booking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2" s="11" t="n">
        <f aca="false">MIN(1,SUMPRODUCT(('Booking Log'!$A$4:$A$400=$A32)*('Booking Log'!$B$4:$B$400=$B32)*('Booking Log'!$D$4:$D$400=$C32)*((((('Booking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32" s="11" t="n">
        <f aca="false">MIN(1,SUMPRODUCT(('Booking Log'!$A$4:$A$400=$A32)*('Booking Log'!$B$4:$B$400=$B32)*('Booking Log'!$D$4:$D$400=$C32)*((((('Booking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32" s="11" t="n">
        <f aca="false">MIN(1,SUMPRODUCT(('Booking Log'!$A$4:$A$400=$A32)*('Booking Log'!$B$4:$B$400=$B32)*('Booking Log'!$D$4:$D$400=$C32)*((((('Booking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32" s="11" t="n">
        <f aca="false">MIN(1,SUMPRODUCT(('Booking Log'!$A$4:$A$400=$A32)*('Booking Log'!$B$4:$B$400=$B32)*('Booking Log'!$D$4:$D$400=$C32)*((((('Booking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32" s="11" t="n">
        <f aca="false">MIN(1,SUMPRODUCT(('Booking Log'!$A$4:$A$400=$A32)*('Booking Log'!$B$4:$B$400=$B32)*('Booking Log'!$D$4:$D$400=$C32)*((((('Booking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32" s="11" t="n">
        <f aca="false">MIN(1,SUMPRODUCT(('Booking Log'!$A$4:$A$400=$A32)*('Booking Log'!$B$4:$B$400=$B32)*('Booking Log'!$D$4:$D$400=$C32)*((((('Booking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32" s="21" t="n">
        <f aca="false">SUM(D32:L32)</f>
        <v>2.5</v>
      </c>
    </row>
    <row r="33" customFormat="false" ht="15" hidden="false" customHeight="false" outlineLevel="0" collapsed="false">
      <c r="A33" s="26" t="s">
        <v>236</v>
      </c>
      <c r="B33" s="26" t="s">
        <v>43</v>
      </c>
      <c r="C33" s="26" t="s">
        <v>118</v>
      </c>
      <c r="D33" s="11" t="n">
        <f aca="false">MIN(1,SUMPRODUCT(('Booking Log'!$A$4:$A$400=$A33)*('Booking Log'!$B$4:$B$400=$B33)*('Booking Log'!$D$4:$D$400=$C33)*((((('Booking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3" s="11" t="n">
        <f aca="false">MIN(1,SUMPRODUCT(('Booking Log'!$A$4:$A$400=$A33)*('Booking Log'!$B$4:$B$400=$B33)*('Booking Log'!$D$4:$D$400=$C33)*((((('Booking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3" s="11" t="n">
        <f aca="false">MIN(1,SUMPRODUCT(('Booking Log'!$A$4:$A$400=$A33)*('Booking Log'!$B$4:$B$400=$B33)*('Booking Log'!$D$4:$D$400=$C33)*((((('Booking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3" s="11" t="n">
        <f aca="false">MIN(1,SUMPRODUCT(('Booking Log'!$A$4:$A$400=$A33)*('Booking Log'!$B$4:$B$400=$B33)*('Booking Log'!$D$4:$D$400=$C33)*((((('Booking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33" s="11" t="n">
        <f aca="false">MIN(1,SUMPRODUCT(('Booking Log'!$A$4:$A$400=$A33)*('Booking Log'!$B$4:$B$400=$B33)*('Booking Log'!$D$4:$D$400=$C33)*((((('Booking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33" s="11" t="n">
        <f aca="false">MIN(1,SUMPRODUCT(('Booking Log'!$A$4:$A$400=$A33)*('Booking Log'!$B$4:$B$400=$B33)*('Booking Log'!$D$4:$D$400=$C33)*((((('Booking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33" s="11" t="n">
        <f aca="false">MIN(1,SUMPRODUCT(('Booking Log'!$A$4:$A$400=$A33)*('Booking Log'!$B$4:$B$400=$B33)*('Booking Log'!$D$4:$D$400=$C33)*((((('Booking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33" s="11" t="n">
        <f aca="false">MIN(1,SUMPRODUCT(('Booking Log'!$A$4:$A$400=$A33)*('Booking Log'!$B$4:$B$400=$B33)*('Booking Log'!$D$4:$D$400=$C33)*((((('Booking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33" s="11" t="n">
        <f aca="false">MIN(1,SUMPRODUCT(('Booking Log'!$A$4:$A$400=$A33)*('Booking Log'!$B$4:$B$400=$B33)*('Booking Log'!$D$4:$D$400=$C33)*((((('Booking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33" s="21" t="n">
        <f aca="false">SUM(D33:L33)</f>
        <v>4</v>
      </c>
    </row>
    <row r="34" customFormat="false" ht="15" hidden="false" customHeight="false" outlineLevel="0" collapsed="false">
      <c r="A34" s="26" t="s">
        <v>236</v>
      </c>
      <c r="B34" s="26" t="s">
        <v>44</v>
      </c>
      <c r="C34" s="26" t="s">
        <v>70</v>
      </c>
      <c r="D34" s="11" t="n">
        <f aca="false">MIN(1,SUMPRODUCT(('Booking Log'!$A$4:$A$400=$A34)*('Booking Log'!$B$4:$B$400=$B34)*('Booking Log'!$D$4:$D$400=$C34)*((((('Booking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4" s="11" t="n">
        <f aca="false">MIN(1,SUMPRODUCT(('Booking Log'!$A$4:$A$400=$A34)*('Booking Log'!$B$4:$B$400=$B34)*('Booking Log'!$D$4:$D$400=$C34)*((((('Booking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4" s="11" t="n">
        <f aca="false">MIN(1,SUMPRODUCT(('Booking Log'!$A$4:$A$400=$A34)*('Booking Log'!$B$4:$B$400=$B34)*('Booking Log'!$D$4:$D$400=$C34)*((((('Booking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4" s="11" t="n">
        <f aca="false">MIN(1,SUMPRODUCT(('Booking Log'!$A$4:$A$400=$A34)*('Booking Log'!$B$4:$B$400=$B34)*('Booking Log'!$D$4:$D$400=$C34)*((((('Booking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34" s="11" t="n">
        <f aca="false">MIN(1,SUMPRODUCT(('Booking Log'!$A$4:$A$400=$A34)*('Booking Log'!$B$4:$B$400=$B34)*('Booking Log'!$D$4:$D$400=$C34)*((((('Booking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34" s="11" t="n">
        <f aca="false">MIN(1,SUMPRODUCT(('Booking Log'!$A$4:$A$400=$A34)*('Booking Log'!$B$4:$B$400=$B34)*('Booking Log'!$D$4:$D$400=$C34)*((((('Booking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34" s="11" t="n">
        <f aca="false">MIN(1,SUMPRODUCT(('Booking Log'!$A$4:$A$400=$A34)*('Booking Log'!$B$4:$B$400=$B34)*('Booking Log'!$D$4:$D$400=$C34)*((((('Booking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34" s="11" t="n">
        <f aca="false">MIN(1,SUMPRODUCT(('Booking Log'!$A$4:$A$400=$A34)*('Booking Log'!$B$4:$B$400=$B34)*('Booking Log'!$D$4:$D$400=$C34)*((((('Booking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34" s="11" t="n">
        <f aca="false">MIN(1,SUMPRODUCT(('Booking Log'!$A$4:$A$400=$A34)*('Booking Log'!$B$4:$B$400=$B34)*('Booking Log'!$D$4:$D$400=$C34)*((((('Booking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34" s="21" t="n">
        <f aca="false">SUM(D34:L34)</f>
        <v>2.49999999999999</v>
      </c>
    </row>
    <row r="35" customFormat="false" ht="15" hidden="false" customHeight="false" outlineLevel="0" collapsed="false">
      <c r="A35" s="26" t="s">
        <v>236</v>
      </c>
      <c r="B35" s="26" t="s">
        <v>44</v>
      </c>
      <c r="C35" s="26" t="s">
        <v>94</v>
      </c>
      <c r="D35" s="11" t="n">
        <f aca="false">MIN(1,SUMPRODUCT(('Booking Log'!$A$4:$A$400=$A35)*('Booking Log'!$B$4:$B$400=$B35)*('Booking Log'!$D$4:$D$400=$C35)*((((('Booking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5" s="11" t="n">
        <f aca="false">MIN(1,SUMPRODUCT(('Booking Log'!$A$4:$A$400=$A35)*('Booking Log'!$B$4:$B$400=$B35)*('Booking Log'!$D$4:$D$400=$C35)*((((('Booking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5" s="11" t="n">
        <f aca="false">MIN(1,SUMPRODUCT(('Booking Log'!$A$4:$A$400=$A35)*('Booking Log'!$B$4:$B$400=$B35)*('Booking Log'!$D$4:$D$400=$C35)*((((('Booking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5" s="11" t="n">
        <f aca="false">MIN(1,SUMPRODUCT(('Booking Log'!$A$4:$A$400=$A35)*('Booking Log'!$B$4:$B$400=$B35)*('Booking Log'!$D$4:$D$400=$C35)*((((('Booking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35" s="11" t="n">
        <f aca="false">MIN(1,SUMPRODUCT(('Booking Log'!$A$4:$A$400=$A35)*('Booking Log'!$B$4:$B$400=$B35)*('Booking Log'!$D$4:$D$400=$C35)*((((('Booking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35" s="11" t="n">
        <f aca="false">MIN(1,SUMPRODUCT(('Booking Log'!$A$4:$A$400=$A35)*('Booking Log'!$B$4:$B$400=$B35)*('Booking Log'!$D$4:$D$400=$C35)*((((('Booking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35" s="11" t="n">
        <f aca="false">MIN(1,SUMPRODUCT(('Booking Log'!$A$4:$A$400=$A35)*('Booking Log'!$B$4:$B$400=$B35)*('Booking Log'!$D$4:$D$400=$C35)*((((('Booking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35" s="11" t="n">
        <f aca="false">MIN(1,SUMPRODUCT(('Booking Log'!$A$4:$A$400=$A35)*('Booking Log'!$B$4:$B$400=$B35)*('Booking Log'!$D$4:$D$400=$C35)*((((('Booking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0.999999999999996</v>
      </c>
      <c r="L35" s="11" t="n">
        <f aca="false">MIN(1,SUMPRODUCT(('Booking Log'!$A$4:$A$400=$A35)*('Booking Log'!$B$4:$B$400=$B35)*('Booking Log'!$D$4:$D$400=$C35)*((((('Booking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0.500000000000004</v>
      </c>
      <c r="M35" s="21" t="n">
        <f aca="false">SUM(D35:L35)</f>
        <v>3.5</v>
      </c>
    </row>
    <row r="36" customFormat="false" ht="15" hidden="false" customHeight="false" outlineLevel="0" collapsed="false">
      <c r="A36" s="26" t="s">
        <v>236</v>
      </c>
      <c r="B36" s="26" t="s">
        <v>44</v>
      </c>
      <c r="C36" s="26" t="s">
        <v>105</v>
      </c>
      <c r="D36" s="11" t="n">
        <f aca="false">MIN(1,SUMPRODUCT(('Booking Log'!$A$4:$A$400=$A36)*('Booking Log'!$B$4:$B$400=$B36)*('Booking Log'!$D$4:$D$400=$C36)*((((('Booking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6" s="11" t="n">
        <f aca="false">MIN(1,SUMPRODUCT(('Booking Log'!$A$4:$A$400=$A36)*('Booking Log'!$B$4:$B$400=$B36)*('Booking Log'!$D$4:$D$400=$C36)*((((('Booking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6" s="11" t="n">
        <f aca="false">MIN(1,SUMPRODUCT(('Booking Log'!$A$4:$A$400=$A36)*('Booking Log'!$B$4:$B$400=$B36)*('Booking Log'!$D$4:$D$400=$C36)*((((('Booking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6" s="11" t="n">
        <f aca="false">MIN(1,SUMPRODUCT(('Booking Log'!$A$4:$A$400=$A36)*('Booking Log'!$B$4:$B$400=$B36)*('Booking Log'!$D$4:$D$400=$C36)*((((('Booking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1</v>
      </c>
      <c r="H36" s="11" t="n">
        <f aca="false">MIN(1,SUMPRODUCT(('Booking Log'!$A$4:$A$400=$A36)*('Booking Log'!$B$4:$B$400=$B36)*('Booking Log'!$D$4:$D$400=$C36)*((((('Booking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36" s="11" t="n">
        <f aca="false">MIN(1,SUMPRODUCT(('Booking Log'!$A$4:$A$400=$A36)*('Booking Log'!$B$4:$B$400=$B36)*('Booking Log'!$D$4:$D$400=$C36)*((((('Booking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0.250000000000004</v>
      </c>
      <c r="J36" s="11" t="n">
        <f aca="false">MIN(1,SUMPRODUCT(('Booking Log'!$A$4:$A$400=$A36)*('Booking Log'!$B$4:$B$400=$B36)*('Booking Log'!$D$4:$D$400=$C36)*((((('Booking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36" s="11" t="n">
        <f aca="false">MIN(1,SUMPRODUCT(('Booking Log'!$A$4:$A$400=$A36)*('Booking Log'!$B$4:$B$400=$B36)*('Booking Log'!$D$4:$D$400=$C36)*((((('Booking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36" s="11" t="n">
        <f aca="false">MIN(1,SUMPRODUCT(('Booking Log'!$A$4:$A$400=$A36)*('Booking Log'!$B$4:$B$400=$B36)*('Booking Log'!$D$4:$D$400=$C36)*((((('Booking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36" s="21" t="n">
        <f aca="false">SUM(D36:L36)</f>
        <v>2.25</v>
      </c>
    </row>
    <row r="37" customFormat="false" ht="15" hidden="false" customHeight="false" outlineLevel="0" collapsed="false">
      <c r="A37" s="26" t="s">
        <v>236</v>
      </c>
      <c r="B37" s="26" t="s">
        <v>44</v>
      </c>
      <c r="C37" s="26" t="s">
        <v>117</v>
      </c>
      <c r="D37" s="11" t="n">
        <f aca="false">MIN(1,SUMPRODUCT(('Booking Log'!$A$4:$A$400=$A37)*('Booking Log'!$B$4:$B$400=$B37)*('Booking Log'!$D$4:$D$400=$C37)*((((('Booking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7" s="11" t="n">
        <f aca="false">MIN(1,SUMPRODUCT(('Booking Log'!$A$4:$A$400=$A37)*('Booking Log'!$B$4:$B$400=$B37)*('Booking Log'!$D$4:$D$400=$C37)*((((('Booking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7" s="11" t="n">
        <f aca="false">MIN(1,SUMPRODUCT(('Booking Log'!$A$4:$A$400=$A37)*('Booking Log'!$B$4:$B$400=$B37)*('Booking Log'!$D$4:$D$400=$C37)*((((('Booking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7" s="11" t="n">
        <f aca="false">MIN(1,SUMPRODUCT(('Booking Log'!$A$4:$A$400=$A37)*('Booking Log'!$B$4:$B$400=$B37)*('Booking Log'!$D$4:$D$400=$C37)*((((('Booking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37" s="11" t="n">
        <f aca="false">MIN(1,SUMPRODUCT(('Booking Log'!$A$4:$A$400=$A37)*('Booking Log'!$B$4:$B$400=$B37)*('Booking Log'!$D$4:$D$400=$C37)*((((('Booking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37" s="11" t="n">
        <f aca="false">MIN(1,SUMPRODUCT(('Booking Log'!$A$4:$A$400=$A37)*('Booking Log'!$B$4:$B$400=$B37)*('Booking Log'!$D$4:$D$400=$C37)*((((('Booking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37" s="11" t="n">
        <f aca="false">MIN(1,SUMPRODUCT(('Booking Log'!$A$4:$A$400=$A37)*('Booking Log'!$B$4:$B$400=$B37)*('Booking Log'!$D$4:$D$400=$C37)*((((('Booking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0.999999999999996</v>
      </c>
      <c r="K37" s="11" t="n">
        <f aca="false">MIN(1,SUMPRODUCT(('Booking Log'!$A$4:$A$400=$A37)*('Booking Log'!$B$4:$B$400=$B37)*('Booking Log'!$D$4:$D$400=$C37)*((((('Booking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37" s="11" t="n">
        <f aca="false">MIN(1,SUMPRODUCT(('Booking Log'!$A$4:$A$400=$A37)*('Booking Log'!$B$4:$B$400=$B37)*('Booking Log'!$D$4:$D$400=$C37)*((((('Booking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37" s="21" t="n">
        <f aca="false">SUM(D37:L37)</f>
        <v>3.99999999999999</v>
      </c>
    </row>
    <row r="38" customFormat="false" ht="15" hidden="false" customHeight="false" outlineLevel="0" collapsed="false">
      <c r="A38" s="26" t="s">
        <v>236</v>
      </c>
      <c r="B38" s="26" t="s">
        <v>44</v>
      </c>
      <c r="C38" s="26" t="s">
        <v>118</v>
      </c>
      <c r="D38" s="11" t="n">
        <f aca="false">MIN(1,SUMPRODUCT(('Booking Log'!$A$4:$A$400=$A38)*('Booking Log'!$B$4:$B$400=$B38)*('Booking Log'!$D$4:$D$400=$C38)*((((('Booking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8" s="11" t="n">
        <f aca="false">MIN(1,SUMPRODUCT(('Booking Log'!$A$4:$A$400=$A38)*('Booking Log'!$B$4:$B$400=$B38)*('Booking Log'!$D$4:$D$400=$C38)*((((('Booking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38" s="11" t="n">
        <f aca="false">MIN(1,SUMPRODUCT(('Booking Log'!$A$4:$A$400=$A38)*('Booking Log'!$B$4:$B$400=$B38)*('Booking Log'!$D$4:$D$400=$C38)*((((('Booking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38" s="11" t="n">
        <f aca="false">MIN(1,SUMPRODUCT(('Booking Log'!$A$4:$A$400=$A38)*('Booking Log'!$B$4:$B$400=$B38)*('Booking Log'!$D$4:$D$400=$C38)*((((('Booking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38" s="11" t="n">
        <f aca="false">MIN(1,SUMPRODUCT(('Booking Log'!$A$4:$A$400=$A38)*('Booking Log'!$B$4:$B$400=$B38)*('Booking Log'!$D$4:$D$400=$C38)*((((('Booking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38" s="11" t="n">
        <f aca="false">MIN(1,SUMPRODUCT(('Booking Log'!$A$4:$A$400=$A38)*('Booking Log'!$B$4:$B$400=$B38)*('Booking Log'!$D$4:$D$400=$C38)*((((('Booking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38" s="11" t="n">
        <f aca="false">MIN(1,SUMPRODUCT(('Booking Log'!$A$4:$A$400=$A38)*('Booking Log'!$B$4:$B$400=$B38)*('Booking Log'!$D$4:$D$400=$C38)*((((('Booking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38" s="11" t="n">
        <f aca="false">MIN(1,SUMPRODUCT(('Booking Log'!$A$4:$A$400=$A38)*('Booking Log'!$B$4:$B$400=$B38)*('Booking Log'!$D$4:$D$400=$C38)*((((('Booking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38" s="11" t="n">
        <f aca="false">MIN(1,SUMPRODUCT(('Booking Log'!$A$4:$A$400=$A38)*('Booking Log'!$B$4:$B$400=$B38)*('Booking Log'!$D$4:$D$400=$C38)*((((('Booking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38" s="21" t="n">
        <f aca="false">SUM(D38:L38)</f>
        <v>4.5</v>
      </c>
    </row>
    <row r="39" customFormat="false" ht="15" hidden="false" customHeight="false" outlineLevel="0" collapsed="false">
      <c r="A39" s="26" t="s">
        <v>236</v>
      </c>
      <c r="B39" s="26" t="s">
        <v>45</v>
      </c>
      <c r="C39" s="26" t="s">
        <v>70</v>
      </c>
      <c r="D39" s="11" t="n">
        <f aca="false">MIN(1,SUMPRODUCT(('Booking Log'!$A$4:$A$400=$A39)*('Booking Log'!$B$4:$B$400=$B39)*('Booking Log'!$D$4:$D$400=$C39)*((((('Booking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39" s="11" t="n">
        <f aca="false">MIN(1,SUMPRODUCT(('Booking Log'!$A$4:$A$400=$A39)*('Booking Log'!$B$4:$B$400=$B39)*('Booking Log'!$D$4:$D$400=$C39)*((((('Booking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39" s="11" t="n">
        <f aca="false">MIN(1,SUMPRODUCT(('Booking Log'!$A$4:$A$400=$A39)*('Booking Log'!$B$4:$B$400=$B39)*('Booking Log'!$D$4:$D$400=$C39)*((((('Booking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39" s="11" t="n">
        <f aca="false">MIN(1,SUMPRODUCT(('Booking Log'!$A$4:$A$400=$A39)*('Booking Log'!$B$4:$B$400=$B39)*('Booking Log'!$D$4:$D$400=$C39)*((((('Booking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39" s="11" t="n">
        <f aca="false">MIN(1,SUMPRODUCT(('Booking Log'!$A$4:$A$400=$A39)*('Booking Log'!$B$4:$B$400=$B39)*('Booking Log'!$D$4:$D$400=$C39)*((((('Booking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39" s="11" t="n">
        <f aca="false">MIN(1,SUMPRODUCT(('Booking Log'!$A$4:$A$400=$A39)*('Booking Log'!$B$4:$B$400=$B39)*('Booking Log'!$D$4:$D$400=$C39)*((((('Booking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39" s="11" t="n">
        <f aca="false">MIN(1,SUMPRODUCT(('Booking Log'!$A$4:$A$400=$A39)*('Booking Log'!$B$4:$B$400=$B39)*('Booking Log'!$D$4:$D$400=$C39)*((((('Booking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39" s="11" t="n">
        <f aca="false">MIN(1,SUMPRODUCT(('Booking Log'!$A$4:$A$400=$A39)*('Booking Log'!$B$4:$B$400=$B39)*('Booking Log'!$D$4:$D$400=$C39)*((((('Booking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39" s="11" t="n">
        <f aca="false">MIN(1,SUMPRODUCT(('Booking Log'!$A$4:$A$400=$A39)*('Booking Log'!$B$4:$B$400=$B39)*('Booking Log'!$D$4:$D$400=$C39)*((((('Booking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39" s="21" t="n">
        <f aca="false">SUM(D39:L39)</f>
        <v>2.49999999999999</v>
      </c>
    </row>
    <row r="40" customFormat="false" ht="15" hidden="false" customHeight="false" outlineLevel="0" collapsed="false">
      <c r="A40" s="26" t="s">
        <v>236</v>
      </c>
      <c r="B40" s="26" t="s">
        <v>45</v>
      </c>
      <c r="C40" s="26" t="s">
        <v>94</v>
      </c>
      <c r="D40" s="11" t="n">
        <f aca="false">MIN(1,SUMPRODUCT(('Booking Log'!$A$4:$A$400=$A40)*('Booking Log'!$B$4:$B$400=$B40)*('Booking Log'!$D$4:$D$400=$C40)*((((('Booking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0" s="11" t="n">
        <f aca="false">MIN(1,SUMPRODUCT(('Booking Log'!$A$4:$A$400=$A40)*('Booking Log'!$B$4:$B$400=$B40)*('Booking Log'!$D$4:$D$400=$C40)*((((('Booking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40" s="11" t="n">
        <f aca="false">MIN(1,SUMPRODUCT(('Booking Log'!$A$4:$A$400=$A40)*('Booking Log'!$B$4:$B$400=$B40)*('Booking Log'!$D$4:$D$400=$C40)*((((('Booking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0.499999999999998</v>
      </c>
      <c r="G40" s="11" t="n">
        <f aca="false">MIN(1,SUMPRODUCT(('Booking Log'!$A$4:$A$400=$A40)*('Booking Log'!$B$4:$B$400=$B40)*('Booking Log'!$D$4:$D$400=$C40)*((((('Booking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1</v>
      </c>
      <c r="H40" s="11" t="n">
        <f aca="false">MIN(1,SUMPRODUCT(('Booking Log'!$A$4:$A$400=$A40)*('Booking Log'!$B$4:$B$400=$B40)*('Booking Log'!$D$4:$D$400=$C40)*((((('Booking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40" s="11" t="n">
        <f aca="false">MIN(1,SUMPRODUCT(('Booking Log'!$A$4:$A$400=$A40)*('Booking Log'!$B$4:$B$400=$B40)*('Booking Log'!$D$4:$D$400=$C40)*((((('Booking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40" s="11" t="n">
        <f aca="false">MIN(1,SUMPRODUCT(('Booking Log'!$A$4:$A$400=$A40)*('Booking Log'!$B$4:$B$400=$B40)*('Booking Log'!$D$4:$D$400=$C40)*((((('Booking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0" s="11" t="n">
        <f aca="false">MIN(1,SUMPRODUCT(('Booking Log'!$A$4:$A$400=$A40)*('Booking Log'!$B$4:$B$400=$B40)*('Booking Log'!$D$4:$D$400=$C40)*((((('Booking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40" s="11" t="n">
        <f aca="false">MIN(1,SUMPRODUCT(('Booking Log'!$A$4:$A$400=$A40)*('Booking Log'!$B$4:$B$400=$B40)*('Booking Log'!$D$4:$D$400=$C40)*((((('Booking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40" s="21" t="n">
        <f aca="false">SUM(D40:L40)</f>
        <v>3.5</v>
      </c>
    </row>
    <row r="41" customFormat="false" ht="15" hidden="false" customHeight="false" outlineLevel="0" collapsed="false">
      <c r="A41" s="26" t="s">
        <v>236</v>
      </c>
      <c r="B41" s="26" t="s">
        <v>45</v>
      </c>
      <c r="C41" s="26" t="s">
        <v>105</v>
      </c>
      <c r="D41" s="11" t="n">
        <f aca="false">MIN(1,SUMPRODUCT(('Booking Log'!$A$4:$A$400=$A41)*('Booking Log'!$B$4:$B$400=$B41)*('Booking Log'!$D$4:$D$400=$C41)*((((('Booking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1" s="11" t="n">
        <f aca="false">MIN(1,SUMPRODUCT(('Booking Log'!$A$4:$A$400=$A41)*('Booking Log'!$B$4:$B$400=$B41)*('Booking Log'!$D$4:$D$400=$C41)*((((('Booking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41" s="11" t="n">
        <f aca="false">MIN(1,SUMPRODUCT(('Booking Log'!$A$4:$A$400=$A41)*('Booking Log'!$B$4:$B$400=$B41)*('Booking Log'!$D$4:$D$400=$C41)*((((('Booking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41" s="11" t="n">
        <f aca="false">MIN(1,SUMPRODUCT(('Booking Log'!$A$4:$A$400=$A41)*('Booking Log'!$B$4:$B$400=$B41)*('Booking Log'!$D$4:$D$400=$C41)*((((('Booking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41" s="11" t="n">
        <f aca="false">MIN(1,SUMPRODUCT(('Booking Log'!$A$4:$A$400=$A41)*('Booking Log'!$B$4:$B$400=$B41)*('Booking Log'!$D$4:$D$400=$C41)*((((('Booking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41" s="11" t="n">
        <f aca="false">MIN(1,SUMPRODUCT(('Booking Log'!$A$4:$A$400=$A41)*('Booking Log'!$B$4:$B$400=$B41)*('Booking Log'!$D$4:$D$400=$C41)*((((('Booking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41" s="11" t="n">
        <f aca="false">MIN(1,SUMPRODUCT(('Booking Log'!$A$4:$A$400=$A41)*('Booking Log'!$B$4:$B$400=$B41)*('Booking Log'!$D$4:$D$400=$C41)*((((('Booking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1" s="11" t="n">
        <f aca="false">MIN(1,SUMPRODUCT(('Booking Log'!$A$4:$A$400=$A41)*('Booking Log'!$B$4:$B$400=$B41)*('Booking Log'!$D$4:$D$400=$C41)*((((('Booking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41" s="11" t="n">
        <f aca="false">MIN(1,SUMPRODUCT(('Booking Log'!$A$4:$A$400=$A41)*('Booking Log'!$B$4:$B$400=$B41)*('Booking Log'!$D$4:$D$400=$C41)*((((('Booking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41" s="21" t="n">
        <f aca="false">SUM(D41:L41)</f>
        <v>1.5</v>
      </c>
    </row>
    <row r="42" customFormat="false" ht="15" hidden="false" customHeight="false" outlineLevel="0" collapsed="false">
      <c r="A42" s="26" t="s">
        <v>236</v>
      </c>
      <c r="B42" s="26" t="s">
        <v>45</v>
      </c>
      <c r="C42" s="26" t="s">
        <v>117</v>
      </c>
      <c r="D42" s="11" t="n">
        <f aca="false">MIN(1,SUMPRODUCT(('Booking Log'!$A$4:$A$400=$A42)*('Booking Log'!$B$4:$B$400=$B42)*('Booking Log'!$D$4:$D$400=$C42)*((((('Booking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2" s="11" t="n">
        <f aca="false">MIN(1,SUMPRODUCT(('Booking Log'!$A$4:$A$400=$A42)*('Booking Log'!$B$4:$B$400=$B42)*('Booking Log'!$D$4:$D$400=$C42)*((((('Booking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42" s="11" t="n">
        <f aca="false">MIN(1,SUMPRODUCT(('Booking Log'!$A$4:$A$400=$A42)*('Booking Log'!$B$4:$B$400=$B42)*('Booking Log'!$D$4:$D$400=$C42)*((((('Booking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42" s="11" t="n">
        <f aca="false">MIN(1,SUMPRODUCT(('Booking Log'!$A$4:$A$400=$A42)*('Booking Log'!$B$4:$B$400=$B42)*('Booking Log'!$D$4:$D$400=$C42)*((((('Booking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42" s="11" t="n">
        <f aca="false">MIN(1,SUMPRODUCT(('Booking Log'!$A$4:$A$400=$A42)*('Booking Log'!$B$4:$B$400=$B42)*('Booking Log'!$D$4:$D$400=$C42)*((((('Booking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42" s="11" t="n">
        <f aca="false">MIN(1,SUMPRODUCT(('Booking Log'!$A$4:$A$400=$A42)*('Booking Log'!$B$4:$B$400=$B42)*('Booking Log'!$D$4:$D$400=$C42)*((((('Booking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42" s="11" t="n">
        <f aca="false">MIN(1,SUMPRODUCT(('Booking Log'!$A$4:$A$400=$A42)*('Booking Log'!$B$4:$B$400=$B42)*('Booking Log'!$D$4:$D$400=$C42)*((((('Booking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42" s="11" t="n">
        <f aca="false">MIN(1,SUMPRODUCT(('Booking Log'!$A$4:$A$400=$A42)*('Booking Log'!$B$4:$B$400=$B42)*('Booking Log'!$D$4:$D$400=$C42)*((((('Booking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0.500000000000001</v>
      </c>
      <c r="L42" s="11" t="n">
        <f aca="false">MIN(1,SUMPRODUCT(('Booking Log'!$A$4:$A$400=$A42)*('Booking Log'!$B$4:$B$400=$B42)*('Booking Log'!$D$4:$D$400=$C42)*((((('Booking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42" s="21" t="n">
        <f aca="false">SUM(D42:L42)</f>
        <v>3</v>
      </c>
    </row>
    <row r="43" customFormat="false" ht="15" hidden="false" customHeight="false" outlineLevel="0" collapsed="false">
      <c r="A43" s="26" t="s">
        <v>236</v>
      </c>
      <c r="B43" s="26" t="s">
        <v>45</v>
      </c>
      <c r="C43" s="26" t="s">
        <v>118</v>
      </c>
      <c r="D43" s="11" t="n">
        <f aca="false">MIN(1,SUMPRODUCT(('Booking Log'!$A$4:$A$400=$A43)*('Booking Log'!$B$4:$B$400=$B43)*('Booking Log'!$D$4:$D$400=$C43)*((((('Booking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3" s="11" t="n">
        <f aca="false">MIN(1,SUMPRODUCT(('Booking Log'!$A$4:$A$400=$A43)*('Booking Log'!$B$4:$B$400=$B43)*('Booking Log'!$D$4:$D$400=$C43)*((((('Booking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43" s="11" t="n">
        <f aca="false">MIN(1,SUMPRODUCT(('Booking Log'!$A$4:$A$400=$A43)*('Booking Log'!$B$4:$B$400=$B43)*('Booking Log'!$D$4:$D$400=$C43)*((((('Booking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43" s="11" t="n">
        <f aca="false">MIN(1,SUMPRODUCT(('Booking Log'!$A$4:$A$400=$A43)*('Booking Log'!$B$4:$B$400=$B43)*('Booking Log'!$D$4:$D$400=$C43)*((((('Booking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43" s="11" t="n">
        <f aca="false">MIN(1,SUMPRODUCT(('Booking Log'!$A$4:$A$400=$A43)*('Booking Log'!$B$4:$B$400=$B43)*('Booking Log'!$D$4:$D$400=$C43)*((((('Booking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43" s="11" t="n">
        <f aca="false">MIN(1,SUMPRODUCT(('Booking Log'!$A$4:$A$400=$A43)*('Booking Log'!$B$4:$B$400=$B43)*('Booking Log'!$D$4:$D$400=$C43)*((((('Booking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43" s="11" t="n">
        <f aca="false">MIN(1,SUMPRODUCT(('Booking Log'!$A$4:$A$400=$A43)*('Booking Log'!$B$4:$B$400=$B43)*('Booking Log'!$D$4:$D$400=$C43)*((((('Booking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0.500000000000001</v>
      </c>
      <c r="K43" s="11" t="n">
        <f aca="false">MIN(1,SUMPRODUCT(('Booking Log'!$A$4:$A$400=$A43)*('Booking Log'!$B$4:$B$400=$B43)*('Booking Log'!$D$4:$D$400=$C43)*((((('Booking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43" s="11" t="n">
        <f aca="false">MIN(1,SUMPRODUCT(('Booking Log'!$A$4:$A$400=$A43)*('Booking Log'!$B$4:$B$400=$B43)*('Booking Log'!$D$4:$D$400=$C43)*((((('Booking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43" s="21" t="n">
        <f aca="false">SUM(D43:L43)</f>
        <v>6</v>
      </c>
    </row>
    <row r="44" customFormat="false" ht="15" hidden="false" customHeight="false" outlineLevel="0" collapsed="false">
      <c r="A44" s="26" t="s">
        <v>237</v>
      </c>
      <c r="B44" s="26" t="s">
        <v>42</v>
      </c>
      <c r="C44" s="26" t="s">
        <v>70</v>
      </c>
      <c r="D44" s="11" t="n">
        <f aca="false">MIN(1,SUMPRODUCT(('Booking Log'!$A$4:$A$400=$A44)*('Booking Log'!$B$4:$B$400=$B44)*('Booking Log'!$D$4:$D$400=$C44)*((((('Booking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4" s="11" t="n">
        <f aca="false">MIN(1,SUMPRODUCT(('Booking Log'!$A$4:$A$400=$A44)*('Booking Log'!$B$4:$B$400=$B44)*('Booking Log'!$D$4:$D$400=$C44)*((((('Booking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44" s="11" t="n">
        <f aca="false">MIN(1,SUMPRODUCT(('Booking Log'!$A$4:$A$400=$A44)*('Booking Log'!$B$4:$B$400=$B44)*('Booking Log'!$D$4:$D$400=$C44)*((((('Booking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0.999999999999999</v>
      </c>
      <c r="G44" s="11" t="n">
        <f aca="false">MIN(1,SUMPRODUCT(('Booking Log'!$A$4:$A$400=$A44)*('Booking Log'!$B$4:$B$400=$B44)*('Booking Log'!$D$4:$D$400=$C44)*((((('Booking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0.750000000000003</v>
      </c>
      <c r="H44" s="11" t="n">
        <f aca="false">MIN(1,SUMPRODUCT(('Booking Log'!$A$4:$A$400=$A44)*('Booking Log'!$B$4:$B$400=$B44)*('Booking Log'!$D$4:$D$400=$C44)*((((('Booking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44" s="11" t="n">
        <f aca="false">MIN(1,SUMPRODUCT(('Booking Log'!$A$4:$A$400=$A44)*('Booking Log'!$B$4:$B$400=$B44)*('Booking Log'!$D$4:$D$400=$C44)*((((('Booking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0.500000000000001</v>
      </c>
      <c r="J44" s="11" t="n">
        <f aca="false">MIN(1,SUMPRODUCT(('Booking Log'!$A$4:$A$400=$A44)*('Booking Log'!$B$4:$B$400=$B44)*('Booking Log'!$D$4:$D$400=$C44)*((((('Booking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4" s="11" t="n">
        <f aca="false">MIN(1,SUMPRODUCT(('Booking Log'!$A$4:$A$400=$A44)*('Booking Log'!$B$4:$B$400=$B44)*('Booking Log'!$D$4:$D$400=$C44)*((((('Booking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44" s="11" t="n">
        <f aca="false">MIN(1,SUMPRODUCT(('Booking Log'!$A$4:$A$400=$A44)*('Booking Log'!$B$4:$B$400=$B44)*('Booking Log'!$D$4:$D$400=$C44)*((((('Booking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44" s="21" t="n">
        <f aca="false">SUM(D44:L44)</f>
        <v>4.75</v>
      </c>
    </row>
    <row r="45" customFormat="false" ht="15" hidden="false" customHeight="false" outlineLevel="0" collapsed="false">
      <c r="A45" s="26" t="s">
        <v>237</v>
      </c>
      <c r="B45" s="26" t="s">
        <v>42</v>
      </c>
      <c r="C45" s="26" t="s">
        <v>94</v>
      </c>
      <c r="D45" s="11" t="n">
        <f aca="false">MIN(1,SUMPRODUCT(('Booking Log'!$A$4:$A$400=$A45)*('Booking Log'!$B$4:$B$400=$B45)*('Booking Log'!$D$4:$D$400=$C45)*((((('Booking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5" s="11" t="n">
        <f aca="false">MIN(1,SUMPRODUCT(('Booking Log'!$A$4:$A$400=$A45)*('Booking Log'!$B$4:$B$400=$B45)*('Booking Log'!$D$4:$D$400=$C45)*((((('Booking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45" s="11" t="n">
        <f aca="false">MIN(1,SUMPRODUCT(('Booking Log'!$A$4:$A$400=$A45)*('Booking Log'!$B$4:$B$400=$B45)*('Booking Log'!$D$4:$D$400=$C45)*((((('Booking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45" s="11" t="n">
        <f aca="false">MIN(1,SUMPRODUCT(('Booking Log'!$A$4:$A$400=$A45)*('Booking Log'!$B$4:$B$400=$B45)*('Booking Log'!$D$4:$D$400=$C45)*((((('Booking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45" s="11" t="n">
        <f aca="false">MIN(1,SUMPRODUCT(('Booking Log'!$A$4:$A$400=$A45)*('Booking Log'!$B$4:$B$400=$B45)*('Booking Log'!$D$4:$D$400=$C45)*((((('Booking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45" s="11" t="n">
        <f aca="false">MIN(1,SUMPRODUCT(('Booking Log'!$A$4:$A$400=$A45)*('Booking Log'!$B$4:$B$400=$B45)*('Booking Log'!$D$4:$D$400=$C45)*((((('Booking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45" s="11" t="n">
        <f aca="false">MIN(1,SUMPRODUCT(('Booking Log'!$A$4:$A$400=$A45)*('Booking Log'!$B$4:$B$400=$B45)*('Booking Log'!$D$4:$D$400=$C45)*((((('Booking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45" s="11" t="n">
        <f aca="false">MIN(1,SUMPRODUCT(('Booking Log'!$A$4:$A$400=$A45)*('Booking Log'!$B$4:$B$400=$B45)*('Booking Log'!$D$4:$D$400=$C45)*((((('Booking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0.500000000000001</v>
      </c>
      <c r="L45" s="11" t="n">
        <f aca="false">MIN(1,SUMPRODUCT(('Booking Log'!$A$4:$A$400=$A45)*('Booking Log'!$B$4:$B$400=$B45)*('Booking Log'!$D$4:$D$400=$C45)*((((('Booking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45" s="21" t="n">
        <f aca="false">SUM(D45:L45)</f>
        <v>2.5</v>
      </c>
    </row>
    <row r="46" customFormat="false" ht="15" hidden="false" customHeight="false" outlineLevel="0" collapsed="false">
      <c r="A46" s="26" t="s">
        <v>237</v>
      </c>
      <c r="B46" s="26" t="s">
        <v>42</v>
      </c>
      <c r="C46" s="26" t="s">
        <v>105</v>
      </c>
      <c r="D46" s="11" t="n">
        <f aca="false">MIN(1,SUMPRODUCT(('Booking Log'!$A$4:$A$400=$A46)*('Booking Log'!$B$4:$B$400=$B46)*('Booking Log'!$D$4:$D$400=$C46)*((((('Booking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6" s="11" t="n">
        <f aca="false">MIN(1,SUMPRODUCT(('Booking Log'!$A$4:$A$400=$A46)*('Booking Log'!$B$4:$B$400=$B46)*('Booking Log'!$D$4:$D$400=$C46)*((((('Booking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46" s="11" t="n">
        <f aca="false">MIN(1,SUMPRODUCT(('Booking Log'!$A$4:$A$400=$A46)*('Booking Log'!$B$4:$B$400=$B46)*('Booking Log'!$D$4:$D$400=$C46)*((((('Booking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46" s="11" t="n">
        <f aca="false">MIN(1,SUMPRODUCT(('Booking Log'!$A$4:$A$400=$A46)*('Booking Log'!$B$4:$B$400=$B46)*('Booking Log'!$D$4:$D$400=$C46)*((((('Booking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46" s="11" t="n">
        <f aca="false">MIN(1,SUMPRODUCT(('Booking Log'!$A$4:$A$400=$A46)*('Booking Log'!$B$4:$B$400=$B46)*('Booking Log'!$D$4:$D$400=$C46)*((((('Booking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46" s="11" t="n">
        <f aca="false">MIN(1,SUMPRODUCT(('Booking Log'!$A$4:$A$400=$A46)*('Booking Log'!$B$4:$B$400=$B46)*('Booking Log'!$D$4:$D$400=$C46)*((((('Booking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46" s="11" t="n">
        <f aca="false">MIN(1,SUMPRODUCT(('Booking Log'!$A$4:$A$400=$A46)*('Booking Log'!$B$4:$B$400=$B46)*('Booking Log'!$D$4:$D$400=$C46)*((((('Booking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6" s="11" t="n">
        <f aca="false">MIN(1,SUMPRODUCT(('Booking Log'!$A$4:$A$400=$A46)*('Booking Log'!$B$4:$B$400=$B46)*('Booking Log'!$D$4:$D$400=$C46)*((((('Booking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46" s="11" t="n">
        <f aca="false">MIN(1,SUMPRODUCT(('Booking Log'!$A$4:$A$400=$A46)*('Booking Log'!$B$4:$B$400=$B46)*('Booking Log'!$D$4:$D$400=$C46)*((((('Booking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46" s="21" t="n">
        <f aca="false">SUM(D46:L46)</f>
        <v>3</v>
      </c>
    </row>
    <row r="47" customFormat="false" ht="15" hidden="false" customHeight="false" outlineLevel="0" collapsed="false">
      <c r="A47" s="26" t="s">
        <v>237</v>
      </c>
      <c r="B47" s="26" t="s">
        <v>42</v>
      </c>
      <c r="C47" s="26" t="s">
        <v>117</v>
      </c>
      <c r="D47" s="11" t="n">
        <f aca="false">MIN(1,SUMPRODUCT(('Booking Log'!$A$4:$A$400=$A47)*('Booking Log'!$B$4:$B$400=$B47)*('Booking Log'!$D$4:$D$400=$C47)*((((('Booking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7" s="11" t="n">
        <f aca="false">MIN(1,SUMPRODUCT(('Booking Log'!$A$4:$A$400=$A47)*('Booking Log'!$B$4:$B$400=$B47)*('Booking Log'!$D$4:$D$400=$C47)*((((('Booking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47" s="11" t="n">
        <f aca="false">MIN(1,SUMPRODUCT(('Booking Log'!$A$4:$A$400=$A47)*('Booking Log'!$B$4:$B$400=$B47)*('Booking Log'!$D$4:$D$400=$C47)*((((('Booking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47" s="11" t="n">
        <f aca="false">MIN(1,SUMPRODUCT(('Booking Log'!$A$4:$A$400=$A47)*('Booking Log'!$B$4:$B$400=$B47)*('Booking Log'!$D$4:$D$400=$C47)*((((('Booking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47" s="11" t="n">
        <f aca="false">MIN(1,SUMPRODUCT(('Booking Log'!$A$4:$A$400=$A47)*('Booking Log'!$B$4:$B$400=$B47)*('Booking Log'!$D$4:$D$400=$C47)*((((('Booking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1</v>
      </c>
      <c r="I47" s="11" t="n">
        <f aca="false">MIN(1,SUMPRODUCT(('Booking Log'!$A$4:$A$400=$A47)*('Booking Log'!$B$4:$B$400=$B47)*('Booking Log'!$D$4:$D$400=$C47)*((((('Booking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0.66666666666667</v>
      </c>
      <c r="J47" s="11" t="n">
        <f aca="false">MIN(1,SUMPRODUCT(('Booking Log'!$A$4:$A$400=$A47)*('Booking Log'!$B$4:$B$400=$B47)*('Booking Log'!$D$4:$D$400=$C47)*((((('Booking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7" s="11" t="n">
        <f aca="false">MIN(1,SUMPRODUCT(('Booking Log'!$A$4:$A$400=$A47)*('Booking Log'!$B$4:$B$400=$B47)*('Booking Log'!$D$4:$D$400=$C47)*((((('Booking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47" s="11" t="n">
        <f aca="false">MIN(1,SUMPRODUCT(('Booking Log'!$A$4:$A$400=$A47)*('Booking Log'!$B$4:$B$400=$B47)*('Booking Log'!$D$4:$D$400=$C47)*((((('Booking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47" s="21" t="n">
        <f aca="false">SUM(D47:L47)</f>
        <v>2.66666666666667</v>
      </c>
    </row>
    <row r="48" customFormat="false" ht="15" hidden="false" customHeight="false" outlineLevel="0" collapsed="false">
      <c r="A48" s="26" t="s">
        <v>237</v>
      </c>
      <c r="B48" s="26" t="s">
        <v>42</v>
      </c>
      <c r="C48" s="26" t="s">
        <v>118</v>
      </c>
      <c r="D48" s="11" t="n">
        <f aca="false">MIN(1,SUMPRODUCT(('Booking Log'!$A$4:$A$400=$A48)*('Booking Log'!$B$4:$B$400=$B48)*('Booking Log'!$D$4:$D$400=$C48)*((((('Booking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8" s="11" t="n">
        <f aca="false">MIN(1,SUMPRODUCT(('Booking Log'!$A$4:$A$400=$A48)*('Booking Log'!$B$4:$B$400=$B48)*('Booking Log'!$D$4:$D$400=$C48)*((((('Booking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48" s="11" t="n">
        <f aca="false">MIN(1,SUMPRODUCT(('Booking Log'!$A$4:$A$400=$A48)*('Booking Log'!$B$4:$B$400=$B48)*('Booking Log'!$D$4:$D$400=$C48)*((((('Booking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48" s="11" t="n">
        <f aca="false">MIN(1,SUMPRODUCT(('Booking Log'!$A$4:$A$400=$A48)*('Booking Log'!$B$4:$B$400=$B48)*('Booking Log'!$D$4:$D$400=$C48)*((((('Booking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48" s="11" t="n">
        <f aca="false">MIN(1,SUMPRODUCT(('Booking Log'!$A$4:$A$400=$A48)*('Booking Log'!$B$4:$B$400=$B48)*('Booking Log'!$D$4:$D$400=$C48)*((((('Booking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48" s="11" t="n">
        <f aca="false">MIN(1,SUMPRODUCT(('Booking Log'!$A$4:$A$400=$A48)*('Booking Log'!$B$4:$B$400=$B48)*('Booking Log'!$D$4:$D$400=$C48)*((((('Booking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48" s="11" t="n">
        <f aca="false">MIN(1,SUMPRODUCT(('Booking Log'!$A$4:$A$400=$A48)*('Booking Log'!$B$4:$B$400=$B48)*('Booking Log'!$D$4:$D$400=$C48)*((((('Booking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8" s="11" t="n">
        <f aca="false">MIN(1,SUMPRODUCT(('Booking Log'!$A$4:$A$400=$A48)*('Booking Log'!$B$4:$B$400=$B48)*('Booking Log'!$D$4:$D$400=$C48)*((((('Booking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48" s="11" t="n">
        <f aca="false">MIN(1,SUMPRODUCT(('Booking Log'!$A$4:$A$400=$A48)*('Booking Log'!$B$4:$B$400=$B48)*('Booking Log'!$D$4:$D$400=$C48)*((((('Booking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48" s="21" t="n">
        <f aca="false">SUM(D48:L48)</f>
        <v>5</v>
      </c>
    </row>
    <row r="49" customFormat="false" ht="15" hidden="false" customHeight="false" outlineLevel="0" collapsed="false">
      <c r="A49" s="26" t="s">
        <v>237</v>
      </c>
      <c r="B49" s="26" t="s">
        <v>43</v>
      </c>
      <c r="C49" s="26" t="s">
        <v>70</v>
      </c>
      <c r="D49" s="11" t="n">
        <f aca="false">MIN(1,SUMPRODUCT(('Booking Log'!$A$4:$A$400=$A49)*('Booking Log'!$B$4:$B$400=$B49)*('Booking Log'!$D$4:$D$400=$C49)*((((('Booking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49" s="11" t="n">
        <f aca="false">MIN(1,SUMPRODUCT(('Booking Log'!$A$4:$A$400=$A49)*('Booking Log'!$B$4:$B$400=$B49)*('Booking Log'!$D$4:$D$400=$C49)*((((('Booking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49" s="11" t="n">
        <f aca="false">MIN(1,SUMPRODUCT(('Booking Log'!$A$4:$A$400=$A49)*('Booking Log'!$B$4:$B$400=$B49)*('Booking Log'!$D$4:$D$400=$C49)*((((('Booking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0.499999999999998</v>
      </c>
      <c r="G49" s="11" t="n">
        <f aca="false">MIN(1,SUMPRODUCT(('Booking Log'!$A$4:$A$400=$A49)*('Booking Log'!$B$4:$B$400=$B49)*('Booking Log'!$D$4:$D$400=$C49)*((((('Booking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0.25</v>
      </c>
      <c r="H49" s="11" t="n">
        <f aca="false">MIN(1,SUMPRODUCT(('Booking Log'!$A$4:$A$400=$A49)*('Booking Log'!$B$4:$B$400=$B49)*('Booking Log'!$D$4:$D$400=$C49)*((((('Booking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49" s="11" t="n">
        <f aca="false">MIN(1,SUMPRODUCT(('Booking Log'!$A$4:$A$400=$A49)*('Booking Log'!$B$4:$B$400=$B49)*('Booking Log'!$D$4:$D$400=$C49)*((((('Booking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0.500000000000001</v>
      </c>
      <c r="J49" s="11" t="n">
        <f aca="false">MIN(1,SUMPRODUCT(('Booking Log'!$A$4:$A$400=$A49)*('Booking Log'!$B$4:$B$400=$B49)*('Booking Log'!$D$4:$D$400=$C49)*((((('Booking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49" s="11" t="n">
        <f aca="false">MIN(1,SUMPRODUCT(('Booking Log'!$A$4:$A$400=$A49)*('Booking Log'!$B$4:$B$400=$B49)*('Booking Log'!$D$4:$D$400=$C49)*((((('Booking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49" s="11" t="n">
        <f aca="false">MIN(1,SUMPRODUCT(('Booking Log'!$A$4:$A$400=$A49)*('Booking Log'!$B$4:$B$400=$B49)*('Booking Log'!$D$4:$D$400=$C49)*((((('Booking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49" s="21" t="n">
        <f aca="false">SUM(D49:L49)</f>
        <v>4.74999999999999</v>
      </c>
    </row>
    <row r="50" customFormat="false" ht="15" hidden="false" customHeight="false" outlineLevel="0" collapsed="false">
      <c r="A50" s="26" t="s">
        <v>237</v>
      </c>
      <c r="B50" s="26" t="s">
        <v>43</v>
      </c>
      <c r="C50" s="26" t="s">
        <v>94</v>
      </c>
      <c r="D50" s="11" t="n">
        <f aca="false">MIN(1,SUMPRODUCT(('Booking Log'!$A$4:$A$400=$A50)*('Booking Log'!$B$4:$B$400=$B50)*('Booking Log'!$D$4:$D$400=$C50)*((((('Booking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0" s="11" t="n">
        <f aca="false">MIN(1,SUMPRODUCT(('Booking Log'!$A$4:$A$400=$A50)*('Booking Log'!$B$4:$B$400=$B50)*('Booking Log'!$D$4:$D$400=$C50)*((((('Booking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50" s="11" t="n">
        <f aca="false">MIN(1,SUMPRODUCT(('Booking Log'!$A$4:$A$400=$A50)*('Booking Log'!$B$4:$B$400=$B50)*('Booking Log'!$D$4:$D$400=$C50)*((((('Booking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50" s="11" t="n">
        <f aca="false">MIN(1,SUMPRODUCT(('Booking Log'!$A$4:$A$400=$A50)*('Booking Log'!$B$4:$B$400=$B50)*('Booking Log'!$D$4:$D$400=$C50)*((((('Booking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0.499999999999998</v>
      </c>
      <c r="H50" s="11" t="n">
        <f aca="false">MIN(1,SUMPRODUCT(('Booking Log'!$A$4:$A$400=$A50)*('Booking Log'!$B$4:$B$400=$B50)*('Booking Log'!$D$4:$D$400=$C50)*((((('Booking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50" s="11" t="n">
        <f aca="false">MIN(1,SUMPRODUCT(('Booking Log'!$A$4:$A$400=$A50)*('Booking Log'!$B$4:$B$400=$B50)*('Booking Log'!$D$4:$D$400=$C50)*((((('Booking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50" s="11" t="n">
        <f aca="false">MIN(1,SUMPRODUCT(('Booking Log'!$A$4:$A$400=$A50)*('Booking Log'!$B$4:$B$400=$B50)*('Booking Log'!$D$4:$D$400=$C50)*((((('Booking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50" s="11" t="n">
        <f aca="false">MIN(1,SUMPRODUCT(('Booking Log'!$A$4:$A$400=$A50)*('Booking Log'!$B$4:$B$400=$B50)*('Booking Log'!$D$4:$D$400=$C50)*((((('Booking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0.500000000000001</v>
      </c>
      <c r="L50" s="11" t="n">
        <f aca="false">MIN(1,SUMPRODUCT(('Booking Log'!$A$4:$A$400=$A50)*('Booking Log'!$B$4:$B$400=$B50)*('Booking Log'!$D$4:$D$400=$C50)*((((('Booking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50" s="21" t="n">
        <f aca="false">SUM(D50:L50)</f>
        <v>4</v>
      </c>
    </row>
    <row r="51" customFormat="false" ht="15" hidden="false" customHeight="false" outlineLevel="0" collapsed="false">
      <c r="A51" s="26" t="s">
        <v>237</v>
      </c>
      <c r="B51" s="26" t="s">
        <v>43</v>
      </c>
      <c r="C51" s="26" t="s">
        <v>105</v>
      </c>
      <c r="D51" s="11" t="n">
        <f aca="false">MIN(1,SUMPRODUCT(('Booking Log'!$A$4:$A$400=$A51)*('Booking Log'!$B$4:$B$400=$B51)*('Booking Log'!$D$4:$D$400=$C51)*((((('Booking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1" s="11" t="n">
        <f aca="false">MIN(1,SUMPRODUCT(('Booking Log'!$A$4:$A$400=$A51)*('Booking Log'!$B$4:$B$400=$B51)*('Booking Log'!$D$4:$D$400=$C51)*((((('Booking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51" s="11" t="n">
        <f aca="false">MIN(1,SUMPRODUCT(('Booking Log'!$A$4:$A$400=$A51)*('Booking Log'!$B$4:$B$400=$B51)*('Booking Log'!$D$4:$D$400=$C51)*((((('Booking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51" s="11" t="n">
        <f aca="false">MIN(1,SUMPRODUCT(('Booking Log'!$A$4:$A$400=$A51)*('Booking Log'!$B$4:$B$400=$B51)*('Booking Log'!$D$4:$D$400=$C51)*((((('Booking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51" s="11" t="n">
        <f aca="false">MIN(1,SUMPRODUCT(('Booking Log'!$A$4:$A$400=$A51)*('Booking Log'!$B$4:$B$400=$B51)*('Booking Log'!$D$4:$D$400=$C51)*((((('Booking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51" s="11" t="n">
        <f aca="false">MIN(1,SUMPRODUCT(('Booking Log'!$A$4:$A$400=$A51)*('Booking Log'!$B$4:$B$400=$B51)*('Booking Log'!$D$4:$D$400=$C51)*((((('Booking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51" s="11" t="n">
        <f aca="false">MIN(1,SUMPRODUCT(('Booking Log'!$A$4:$A$400=$A51)*('Booking Log'!$B$4:$B$400=$B51)*('Booking Log'!$D$4:$D$400=$C51)*((((('Booking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51" s="11" t="n">
        <f aca="false">MIN(1,SUMPRODUCT(('Booking Log'!$A$4:$A$400=$A51)*('Booking Log'!$B$4:$B$400=$B51)*('Booking Log'!$D$4:$D$400=$C51)*((((('Booking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51" s="11" t="n">
        <f aca="false">MIN(1,SUMPRODUCT(('Booking Log'!$A$4:$A$400=$A51)*('Booking Log'!$B$4:$B$400=$B51)*('Booking Log'!$D$4:$D$400=$C51)*((((('Booking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51" s="21" t="n">
        <f aca="false">SUM(D51:L51)</f>
        <v>3</v>
      </c>
    </row>
    <row r="52" customFormat="false" ht="15" hidden="false" customHeight="false" outlineLevel="0" collapsed="false">
      <c r="A52" s="26" t="s">
        <v>237</v>
      </c>
      <c r="B52" s="26" t="s">
        <v>43</v>
      </c>
      <c r="C52" s="26" t="s">
        <v>117</v>
      </c>
      <c r="D52" s="11" t="n">
        <f aca="false">MIN(1,SUMPRODUCT(('Booking Log'!$A$4:$A$400=$A52)*('Booking Log'!$B$4:$B$400=$B52)*('Booking Log'!$D$4:$D$400=$C52)*((((('Booking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2" s="11" t="n">
        <f aca="false">MIN(1,SUMPRODUCT(('Booking Log'!$A$4:$A$400=$A52)*('Booking Log'!$B$4:$B$400=$B52)*('Booking Log'!$D$4:$D$400=$C52)*((((('Booking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52" s="11" t="n">
        <f aca="false">MIN(1,SUMPRODUCT(('Booking Log'!$A$4:$A$400=$A52)*('Booking Log'!$B$4:$B$400=$B52)*('Booking Log'!$D$4:$D$400=$C52)*((((('Booking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52" s="11" t="n">
        <f aca="false">MIN(1,SUMPRODUCT(('Booking Log'!$A$4:$A$400=$A52)*('Booking Log'!$B$4:$B$400=$B52)*('Booking Log'!$D$4:$D$400=$C52)*((((('Booking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52" s="11" t="n">
        <f aca="false">MIN(1,SUMPRODUCT(('Booking Log'!$A$4:$A$400=$A52)*('Booking Log'!$B$4:$B$400=$B52)*('Booking Log'!$D$4:$D$400=$C52)*((((('Booking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1</v>
      </c>
      <c r="I52" s="11" t="n">
        <f aca="false">MIN(1,SUMPRODUCT(('Booking Log'!$A$4:$A$400=$A52)*('Booking Log'!$B$4:$B$400=$B52)*('Booking Log'!$D$4:$D$400=$C52)*((((('Booking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0.66666666666667</v>
      </c>
      <c r="J52" s="11" t="n">
        <f aca="false">MIN(1,SUMPRODUCT(('Booking Log'!$A$4:$A$400=$A52)*('Booking Log'!$B$4:$B$400=$B52)*('Booking Log'!$D$4:$D$400=$C52)*((((('Booking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52" s="11" t="n">
        <f aca="false">MIN(1,SUMPRODUCT(('Booking Log'!$A$4:$A$400=$A52)*('Booking Log'!$B$4:$B$400=$B52)*('Booking Log'!$D$4:$D$400=$C52)*((((('Booking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0.999999999999999</v>
      </c>
      <c r="L52" s="11" t="n">
        <f aca="false">MIN(1,SUMPRODUCT(('Booking Log'!$A$4:$A$400=$A52)*('Booking Log'!$B$4:$B$400=$B52)*('Booking Log'!$D$4:$D$400=$C52)*((((('Booking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52" s="21" t="n">
        <f aca="false">SUM(D52:L52)</f>
        <v>2.66666666666667</v>
      </c>
    </row>
    <row r="53" customFormat="false" ht="15" hidden="false" customHeight="false" outlineLevel="0" collapsed="false">
      <c r="A53" s="26" t="s">
        <v>237</v>
      </c>
      <c r="B53" s="26" t="s">
        <v>43</v>
      </c>
      <c r="C53" s="26" t="s">
        <v>118</v>
      </c>
      <c r="D53" s="11" t="n">
        <f aca="false">MIN(1,SUMPRODUCT(('Booking Log'!$A$4:$A$400=$A53)*('Booking Log'!$B$4:$B$400=$B53)*('Booking Log'!$D$4:$D$400=$C53)*((((('Booking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3" s="11" t="n">
        <f aca="false">MIN(1,SUMPRODUCT(('Booking Log'!$A$4:$A$400=$A53)*('Booking Log'!$B$4:$B$400=$B53)*('Booking Log'!$D$4:$D$400=$C53)*((((('Booking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53" s="11" t="n">
        <f aca="false">MIN(1,SUMPRODUCT(('Booking Log'!$A$4:$A$400=$A53)*('Booking Log'!$B$4:$B$400=$B53)*('Booking Log'!$D$4:$D$400=$C53)*((((('Booking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53" s="11" t="n">
        <f aca="false">MIN(1,SUMPRODUCT(('Booking Log'!$A$4:$A$400=$A53)*('Booking Log'!$B$4:$B$400=$B53)*('Booking Log'!$D$4:$D$400=$C53)*((((('Booking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53" s="11" t="n">
        <f aca="false">MIN(1,SUMPRODUCT(('Booking Log'!$A$4:$A$400=$A53)*('Booking Log'!$B$4:$B$400=$B53)*('Booking Log'!$D$4:$D$400=$C53)*((((('Booking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53" s="11" t="n">
        <f aca="false">MIN(1,SUMPRODUCT(('Booking Log'!$A$4:$A$400=$A53)*('Booking Log'!$B$4:$B$400=$B53)*('Booking Log'!$D$4:$D$400=$C53)*((((('Booking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53" s="11" t="n">
        <f aca="false">MIN(1,SUMPRODUCT(('Booking Log'!$A$4:$A$400=$A53)*('Booking Log'!$B$4:$B$400=$B53)*('Booking Log'!$D$4:$D$400=$C53)*((((('Booking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53" s="11" t="n">
        <f aca="false">MIN(1,SUMPRODUCT(('Booking Log'!$A$4:$A$400=$A53)*('Booking Log'!$B$4:$B$400=$B53)*('Booking Log'!$D$4:$D$400=$C53)*((((('Booking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53" s="11" t="n">
        <f aca="false">MIN(1,SUMPRODUCT(('Booking Log'!$A$4:$A$400=$A53)*('Booking Log'!$B$4:$B$400=$B53)*('Booking Log'!$D$4:$D$400=$C53)*((((('Booking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53" s="21" t="n">
        <f aca="false">SUM(D53:L53)</f>
        <v>5.5</v>
      </c>
    </row>
    <row r="54" customFormat="false" ht="15" hidden="false" customHeight="false" outlineLevel="0" collapsed="false">
      <c r="A54" s="26" t="s">
        <v>237</v>
      </c>
      <c r="B54" s="26" t="s">
        <v>44</v>
      </c>
      <c r="C54" s="26" t="s">
        <v>70</v>
      </c>
      <c r="D54" s="11" t="n">
        <f aca="false">MIN(1,SUMPRODUCT(('Booking Log'!$A$4:$A$400=$A54)*('Booking Log'!$B$4:$B$400=$B54)*('Booking Log'!$D$4:$D$400=$C54)*((((('Booking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4" s="11" t="n">
        <f aca="false">MIN(1,SUMPRODUCT(('Booking Log'!$A$4:$A$400=$A54)*('Booking Log'!$B$4:$B$400=$B54)*('Booking Log'!$D$4:$D$400=$C54)*((((('Booking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54" s="11" t="n">
        <f aca="false">MIN(1,SUMPRODUCT(('Booking Log'!$A$4:$A$400=$A54)*('Booking Log'!$B$4:$B$400=$B54)*('Booking Log'!$D$4:$D$400=$C54)*((((('Booking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0.499999999999998</v>
      </c>
      <c r="G54" s="11" t="n">
        <f aca="false">MIN(1,SUMPRODUCT(('Booking Log'!$A$4:$A$400=$A54)*('Booking Log'!$B$4:$B$400=$B54)*('Booking Log'!$D$4:$D$400=$C54)*((((('Booking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54" s="11" t="n">
        <f aca="false">MIN(1,SUMPRODUCT(('Booking Log'!$A$4:$A$400=$A54)*('Booking Log'!$B$4:$B$400=$B54)*('Booking Log'!$D$4:$D$400=$C54)*((((('Booking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54" s="11" t="n">
        <f aca="false">MIN(1,SUMPRODUCT(('Booking Log'!$A$4:$A$400=$A54)*('Booking Log'!$B$4:$B$400=$B54)*('Booking Log'!$D$4:$D$400=$C54)*((((('Booking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54" s="11" t="n">
        <f aca="false">MIN(1,SUMPRODUCT(('Booking Log'!$A$4:$A$400=$A54)*('Booking Log'!$B$4:$B$400=$B54)*('Booking Log'!$D$4:$D$400=$C54)*((((('Booking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54" s="11" t="n">
        <f aca="false">MIN(1,SUMPRODUCT(('Booking Log'!$A$4:$A$400=$A54)*('Booking Log'!$B$4:$B$400=$B54)*('Booking Log'!$D$4:$D$400=$C54)*((((('Booking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54" s="11" t="n">
        <f aca="false">MIN(1,SUMPRODUCT(('Booking Log'!$A$4:$A$400=$A54)*('Booking Log'!$B$4:$B$400=$B54)*('Booking Log'!$D$4:$D$400=$C54)*((((('Booking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54" s="21" t="n">
        <f aca="false">SUM(D54:L54)</f>
        <v>2.99999999999999</v>
      </c>
    </row>
    <row r="55" customFormat="false" ht="15" hidden="false" customHeight="false" outlineLevel="0" collapsed="false">
      <c r="A55" s="26" t="s">
        <v>237</v>
      </c>
      <c r="B55" s="26" t="s">
        <v>44</v>
      </c>
      <c r="C55" s="26" t="s">
        <v>94</v>
      </c>
      <c r="D55" s="11" t="n">
        <f aca="false">MIN(1,SUMPRODUCT(('Booking Log'!$A$4:$A$400=$A55)*('Booking Log'!$B$4:$B$400=$B55)*('Booking Log'!$D$4:$D$400=$C55)*((((('Booking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5" s="11" t="n">
        <f aca="false">MIN(1,SUMPRODUCT(('Booking Log'!$A$4:$A$400=$A55)*('Booking Log'!$B$4:$B$400=$B55)*('Booking Log'!$D$4:$D$400=$C55)*((((('Booking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55" s="11" t="n">
        <f aca="false">MIN(1,SUMPRODUCT(('Booking Log'!$A$4:$A$400=$A55)*('Booking Log'!$B$4:$B$400=$B55)*('Booking Log'!$D$4:$D$400=$C55)*((((('Booking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55" s="11" t="n">
        <f aca="false">MIN(1,SUMPRODUCT(('Booking Log'!$A$4:$A$400=$A55)*('Booking Log'!$B$4:$B$400=$B55)*('Booking Log'!$D$4:$D$400=$C55)*((((('Booking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0.499999999999998</v>
      </c>
      <c r="H55" s="11" t="n">
        <f aca="false">MIN(1,SUMPRODUCT(('Booking Log'!$A$4:$A$400=$A55)*('Booking Log'!$B$4:$B$400=$B55)*('Booking Log'!$D$4:$D$400=$C55)*((((('Booking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55" s="11" t="n">
        <f aca="false">MIN(1,SUMPRODUCT(('Booking Log'!$A$4:$A$400=$A55)*('Booking Log'!$B$4:$B$400=$B55)*('Booking Log'!$D$4:$D$400=$C55)*((((('Booking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55" s="11" t="n">
        <f aca="false">MIN(1,SUMPRODUCT(('Booking Log'!$A$4:$A$400=$A55)*('Booking Log'!$B$4:$B$400=$B55)*('Booking Log'!$D$4:$D$400=$C55)*((((('Booking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55" s="11" t="n">
        <f aca="false">MIN(1,SUMPRODUCT(('Booking Log'!$A$4:$A$400=$A55)*('Booking Log'!$B$4:$B$400=$B55)*('Booking Log'!$D$4:$D$400=$C55)*((((('Booking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0.500000000000001</v>
      </c>
      <c r="L55" s="11" t="n">
        <f aca="false">MIN(1,SUMPRODUCT(('Booking Log'!$A$4:$A$400=$A55)*('Booking Log'!$B$4:$B$400=$B55)*('Booking Log'!$D$4:$D$400=$C55)*((((('Booking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55" s="21" t="n">
        <f aca="false">SUM(D55:L55)</f>
        <v>4</v>
      </c>
    </row>
    <row r="56" customFormat="false" ht="15" hidden="false" customHeight="false" outlineLevel="0" collapsed="false">
      <c r="A56" s="26" t="s">
        <v>237</v>
      </c>
      <c r="B56" s="26" t="s">
        <v>44</v>
      </c>
      <c r="C56" s="26" t="s">
        <v>105</v>
      </c>
      <c r="D56" s="11" t="n">
        <f aca="false">MIN(1,SUMPRODUCT(('Booking Log'!$A$4:$A$400=$A56)*('Booking Log'!$B$4:$B$400=$B56)*('Booking Log'!$D$4:$D$400=$C56)*((((('Booking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0.5</v>
      </c>
      <c r="E56" s="11" t="n">
        <f aca="false">MIN(1,SUMPRODUCT(('Booking Log'!$A$4:$A$400=$A56)*('Booking Log'!$B$4:$B$400=$B56)*('Booking Log'!$D$4:$D$400=$C56)*((((('Booking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56" s="11" t="n">
        <f aca="false">MIN(1,SUMPRODUCT(('Booking Log'!$A$4:$A$400=$A56)*('Booking Log'!$B$4:$B$400=$B56)*('Booking Log'!$D$4:$D$400=$C56)*((((('Booking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0.5</v>
      </c>
      <c r="G56" s="11" t="n">
        <f aca="false">MIN(1,SUMPRODUCT(('Booking Log'!$A$4:$A$400=$A56)*('Booking Log'!$B$4:$B$400=$B56)*('Booking Log'!$D$4:$D$400=$C56)*((((('Booking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56" s="11" t="n">
        <f aca="false">MIN(1,SUMPRODUCT(('Booking Log'!$A$4:$A$400=$A56)*('Booking Log'!$B$4:$B$400=$B56)*('Booking Log'!$D$4:$D$400=$C56)*((((('Booking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0.999999999999999</v>
      </c>
      <c r="I56" s="11" t="n">
        <f aca="false">MIN(1,SUMPRODUCT(('Booking Log'!$A$4:$A$400=$A56)*('Booking Log'!$B$4:$B$400=$B56)*('Booking Log'!$D$4:$D$400=$C56)*((((('Booking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1</v>
      </c>
      <c r="J56" s="11" t="n">
        <f aca="false">MIN(1,SUMPRODUCT(('Booking Log'!$A$4:$A$400=$A56)*('Booking Log'!$B$4:$B$400=$B56)*('Booking Log'!$D$4:$D$400=$C56)*((((('Booking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0.499999999999993</v>
      </c>
      <c r="K56" s="11" t="n">
        <f aca="false">MIN(1,SUMPRODUCT(('Booking Log'!$A$4:$A$400=$A56)*('Booking Log'!$B$4:$B$400=$B56)*('Booking Log'!$D$4:$D$400=$C56)*((((('Booking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56" s="11" t="n">
        <f aca="false">MIN(1,SUMPRODUCT(('Booking Log'!$A$4:$A$400=$A56)*('Booking Log'!$B$4:$B$400=$B56)*('Booking Log'!$D$4:$D$400=$C56)*((((('Booking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56" s="21" t="n">
        <f aca="false">SUM(D56:L56)</f>
        <v>5.99999999999999</v>
      </c>
    </row>
    <row r="57" customFormat="false" ht="15" hidden="false" customHeight="false" outlineLevel="0" collapsed="false">
      <c r="A57" s="26" t="s">
        <v>237</v>
      </c>
      <c r="B57" s="26" t="s">
        <v>44</v>
      </c>
      <c r="C57" s="26" t="s">
        <v>117</v>
      </c>
      <c r="D57" s="11" t="n">
        <f aca="false">MIN(1,SUMPRODUCT(('Booking Log'!$A$4:$A$400=$A57)*('Booking Log'!$B$4:$B$400=$B57)*('Booking Log'!$D$4:$D$400=$C57)*((((('Booking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7" s="11" t="n">
        <f aca="false">MIN(1,SUMPRODUCT(('Booking Log'!$A$4:$A$400=$A57)*('Booking Log'!$B$4:$B$400=$B57)*('Booking Log'!$D$4:$D$400=$C57)*((((('Booking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57" s="11" t="n">
        <f aca="false">MIN(1,SUMPRODUCT(('Booking Log'!$A$4:$A$400=$A57)*('Booking Log'!$B$4:$B$400=$B57)*('Booking Log'!$D$4:$D$400=$C57)*((((('Booking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57" s="11" t="n">
        <f aca="false">MIN(1,SUMPRODUCT(('Booking Log'!$A$4:$A$400=$A57)*('Booking Log'!$B$4:$B$400=$B57)*('Booking Log'!$D$4:$D$400=$C57)*((((('Booking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57" s="11" t="n">
        <f aca="false">MIN(1,SUMPRODUCT(('Booking Log'!$A$4:$A$400=$A57)*('Booking Log'!$B$4:$B$400=$B57)*('Booking Log'!$D$4:$D$400=$C57)*((((('Booking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57" s="11" t="n">
        <f aca="false">MIN(1,SUMPRODUCT(('Booking Log'!$A$4:$A$400=$A57)*('Booking Log'!$B$4:$B$400=$B57)*('Booking Log'!$D$4:$D$400=$C57)*((((('Booking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57" s="11" t="n">
        <f aca="false">MIN(1,SUMPRODUCT(('Booking Log'!$A$4:$A$400=$A57)*('Booking Log'!$B$4:$B$400=$B57)*('Booking Log'!$D$4:$D$400=$C57)*((((('Booking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0.999999999999999</v>
      </c>
      <c r="K57" s="11" t="n">
        <f aca="false">MIN(1,SUMPRODUCT(('Booking Log'!$A$4:$A$400=$A57)*('Booking Log'!$B$4:$B$400=$B57)*('Booking Log'!$D$4:$D$400=$C57)*((((('Booking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1</v>
      </c>
      <c r="L57" s="11" t="n">
        <f aca="false">MIN(1,SUMPRODUCT(('Booking Log'!$A$4:$A$400=$A57)*('Booking Log'!$B$4:$B$400=$B57)*('Booking Log'!$D$4:$D$400=$C57)*((((('Booking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0.500000000000001</v>
      </c>
      <c r="M57" s="21" t="n">
        <f aca="false">SUM(D57:L57)</f>
        <v>2.5</v>
      </c>
    </row>
    <row r="58" customFormat="false" ht="15" hidden="false" customHeight="false" outlineLevel="0" collapsed="false">
      <c r="A58" s="26" t="s">
        <v>237</v>
      </c>
      <c r="B58" s="26" t="s">
        <v>44</v>
      </c>
      <c r="C58" s="26" t="s">
        <v>118</v>
      </c>
      <c r="D58" s="11" t="n">
        <f aca="false">MIN(1,SUMPRODUCT(('Booking Log'!$A$4:$A$400=$A58)*('Booking Log'!$B$4:$B$400=$B58)*('Booking Log'!$D$4:$D$400=$C58)*((((('Booking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8" s="11" t="n">
        <f aca="false">MIN(1,SUMPRODUCT(('Booking Log'!$A$4:$A$400=$A58)*('Booking Log'!$B$4:$B$400=$B58)*('Booking Log'!$D$4:$D$400=$C58)*((((('Booking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58" s="11" t="n">
        <f aca="false">MIN(1,SUMPRODUCT(('Booking Log'!$A$4:$A$400=$A58)*('Booking Log'!$B$4:$B$400=$B58)*('Booking Log'!$D$4:$D$400=$C58)*((((('Booking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58" s="11" t="n">
        <f aca="false">MIN(1,SUMPRODUCT(('Booking Log'!$A$4:$A$400=$A58)*('Booking Log'!$B$4:$B$400=$B58)*('Booking Log'!$D$4:$D$400=$C58)*((((('Booking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58" s="11" t="n">
        <f aca="false">MIN(1,SUMPRODUCT(('Booking Log'!$A$4:$A$400=$A58)*('Booking Log'!$B$4:$B$400=$B58)*('Booking Log'!$D$4:$D$400=$C58)*((((('Booking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58" s="11" t="n">
        <f aca="false">MIN(1,SUMPRODUCT(('Booking Log'!$A$4:$A$400=$A58)*('Booking Log'!$B$4:$B$400=$B58)*('Booking Log'!$D$4:$D$400=$C58)*((((('Booking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0.500000000000004</v>
      </c>
      <c r="J58" s="11" t="n">
        <f aca="false">MIN(1,SUMPRODUCT(('Booking Log'!$A$4:$A$400=$A58)*('Booking Log'!$B$4:$B$400=$B58)*('Booking Log'!$D$4:$D$400=$C58)*((((('Booking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58" s="11" t="n">
        <f aca="false">MIN(1,SUMPRODUCT(('Booking Log'!$A$4:$A$400=$A58)*('Booking Log'!$B$4:$B$400=$B58)*('Booking Log'!$D$4:$D$400=$C58)*((((('Booking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58" s="11" t="n">
        <f aca="false">MIN(1,SUMPRODUCT(('Booking Log'!$A$4:$A$400=$A58)*('Booking Log'!$B$4:$B$400=$B58)*('Booking Log'!$D$4:$D$400=$C58)*((((('Booking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58" s="21" t="n">
        <f aca="false">SUM(D58:L58)</f>
        <v>5.5</v>
      </c>
    </row>
    <row r="59" customFormat="false" ht="15" hidden="false" customHeight="false" outlineLevel="0" collapsed="false">
      <c r="A59" s="26" t="s">
        <v>237</v>
      </c>
      <c r="B59" s="26" t="s">
        <v>45</v>
      </c>
      <c r="C59" s="26" t="s">
        <v>70</v>
      </c>
      <c r="D59" s="11" t="n">
        <f aca="false">MIN(1,SUMPRODUCT(('Booking Log'!$A$4:$A$400=$A59)*('Booking Log'!$B$4:$B$400=$B59)*('Booking Log'!$D$4:$D$400=$C59)*((((('Booking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59" s="11" t="n">
        <f aca="false">MIN(1,SUMPRODUCT(('Booking Log'!$A$4:$A$400=$A59)*('Booking Log'!$B$4:$B$400=$B59)*('Booking Log'!$D$4:$D$400=$C59)*((((('Booking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59" s="11" t="n">
        <f aca="false">MIN(1,SUMPRODUCT(('Booking Log'!$A$4:$A$400=$A59)*('Booking Log'!$B$4:$B$400=$B59)*('Booking Log'!$D$4:$D$400=$C59)*((((('Booking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59" s="11" t="n">
        <f aca="false">MIN(1,SUMPRODUCT(('Booking Log'!$A$4:$A$400=$A59)*('Booking Log'!$B$4:$B$400=$B59)*('Booking Log'!$D$4:$D$400=$C59)*((((('Booking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</v>
      </c>
      <c r="H59" s="11" t="n">
        <f aca="false">MIN(1,SUMPRODUCT(('Booking Log'!$A$4:$A$400=$A59)*('Booking Log'!$B$4:$B$400=$B59)*('Booking Log'!$D$4:$D$400=$C59)*((((('Booking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0.500000000000001</v>
      </c>
      <c r="I59" s="11" t="n">
        <f aca="false">MIN(1,SUMPRODUCT(('Booking Log'!$A$4:$A$400=$A59)*('Booking Log'!$B$4:$B$400=$B59)*('Booking Log'!$D$4:$D$400=$C59)*((((('Booking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59" s="11" t="n">
        <f aca="false">MIN(1,SUMPRODUCT(('Booking Log'!$A$4:$A$400=$A59)*('Booking Log'!$B$4:$B$400=$B59)*('Booking Log'!$D$4:$D$400=$C59)*((((('Booking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59" s="11" t="n">
        <f aca="false">MIN(1,SUMPRODUCT(('Booking Log'!$A$4:$A$400=$A59)*('Booking Log'!$B$4:$B$400=$B59)*('Booking Log'!$D$4:$D$400=$C59)*((((('Booking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59" s="11" t="n">
        <f aca="false">MIN(1,SUMPRODUCT(('Booking Log'!$A$4:$A$400=$A59)*('Booking Log'!$B$4:$B$400=$B59)*('Booking Log'!$D$4:$D$400=$C59)*((((('Booking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59" s="21" t="n">
        <f aca="false">SUM(D59:L59)</f>
        <v>1</v>
      </c>
    </row>
    <row r="60" customFormat="false" ht="15" hidden="false" customHeight="false" outlineLevel="0" collapsed="false">
      <c r="A60" s="26" t="s">
        <v>237</v>
      </c>
      <c r="B60" s="26" t="s">
        <v>45</v>
      </c>
      <c r="C60" s="26" t="s">
        <v>94</v>
      </c>
      <c r="D60" s="11" t="n">
        <f aca="false">MIN(1,SUMPRODUCT(('Booking Log'!$A$4:$A$400=$A60)*('Booking Log'!$B$4:$B$400=$B60)*('Booking Log'!$D$4:$D$400=$C60)*((((('Booking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60" s="11" t="n">
        <f aca="false">MIN(1,SUMPRODUCT(('Booking Log'!$A$4:$A$400=$A60)*('Booking Log'!$B$4:$B$400=$B60)*('Booking Log'!$D$4:$D$400=$C60)*((((('Booking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60" s="11" t="n">
        <f aca="false">MIN(1,SUMPRODUCT(('Booking Log'!$A$4:$A$400=$A60)*('Booking Log'!$B$4:$B$400=$B60)*('Booking Log'!$D$4:$D$400=$C60)*((((('Booking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60" s="11" t="n">
        <f aca="false">MIN(1,SUMPRODUCT(('Booking Log'!$A$4:$A$400=$A60)*('Booking Log'!$B$4:$B$400=$B60)*('Booking Log'!$D$4:$D$400=$C60)*((((('Booking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1</v>
      </c>
      <c r="H60" s="11" t="n">
        <f aca="false">MIN(1,SUMPRODUCT(('Booking Log'!$A$4:$A$400=$A60)*('Booking Log'!$B$4:$B$400=$B60)*('Booking Log'!$D$4:$D$400=$C60)*((((('Booking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0.999999999999996</v>
      </c>
      <c r="I60" s="11" t="n">
        <f aca="false">MIN(1,SUMPRODUCT(('Booking Log'!$A$4:$A$400=$A60)*('Booking Log'!$B$4:$B$400=$B60)*('Booking Log'!$D$4:$D$400=$C60)*((((('Booking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0.500000000000001</v>
      </c>
      <c r="J60" s="11" t="n">
        <f aca="false">MIN(1,SUMPRODUCT(('Booking Log'!$A$4:$A$400=$A60)*('Booking Log'!$B$4:$B$400=$B60)*('Booking Log'!$D$4:$D$400=$C60)*((((('Booking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60" s="11" t="n">
        <f aca="false">MIN(1,SUMPRODUCT(('Booking Log'!$A$4:$A$400=$A60)*('Booking Log'!$B$4:$B$400=$B60)*('Booking Log'!$D$4:$D$400=$C60)*((((('Booking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60" s="11" t="n">
        <f aca="false">MIN(1,SUMPRODUCT(('Booking Log'!$A$4:$A$400=$A60)*('Booking Log'!$B$4:$B$400=$B60)*('Booking Log'!$D$4:$D$400=$C60)*((((('Booking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60" s="21" t="n">
        <f aca="false">SUM(D60:L60)</f>
        <v>2.5</v>
      </c>
    </row>
    <row r="61" customFormat="false" ht="15" hidden="false" customHeight="false" outlineLevel="0" collapsed="false">
      <c r="A61" s="26" t="s">
        <v>237</v>
      </c>
      <c r="B61" s="26" t="s">
        <v>45</v>
      </c>
      <c r="C61" s="26" t="s">
        <v>105</v>
      </c>
      <c r="D61" s="11" t="n">
        <f aca="false">MIN(1,SUMPRODUCT(('Booking Log'!$A$4:$A$400=$A61)*('Booking Log'!$B$4:$B$400=$B61)*('Booking Log'!$D$4:$D$400=$C61)*((((('Booking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61" s="11" t="n">
        <f aca="false">MIN(1,SUMPRODUCT(('Booking Log'!$A$4:$A$400=$A61)*('Booking Log'!$B$4:$B$400=$B61)*('Booking Log'!$D$4:$D$400=$C61)*((((('Booking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0.500000000000002</v>
      </c>
      <c r="F61" s="11" t="n">
        <f aca="false">MIN(1,SUMPRODUCT(('Booking Log'!$A$4:$A$400=$A61)*('Booking Log'!$B$4:$B$400=$B61)*('Booking Log'!$D$4:$D$400=$C61)*((((('Booking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0.999999999999999</v>
      </c>
      <c r="G61" s="11" t="n">
        <f aca="false">MIN(1,SUMPRODUCT(('Booking Log'!$A$4:$A$400=$A61)*('Booking Log'!$B$4:$B$400=$B61)*('Booking Log'!$D$4:$D$400=$C61)*((((('Booking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61" s="11" t="n">
        <f aca="false">MIN(1,SUMPRODUCT(('Booking Log'!$A$4:$A$400=$A61)*('Booking Log'!$B$4:$B$400=$B61)*('Booking Log'!$D$4:$D$400=$C61)*((((('Booking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61" s="11" t="n">
        <f aca="false">MIN(1,SUMPRODUCT(('Booking Log'!$A$4:$A$400=$A61)*('Booking Log'!$B$4:$B$400=$B61)*('Booking Log'!$D$4:$D$400=$C61)*((((('Booking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61" s="11" t="n">
        <f aca="false">MIN(1,SUMPRODUCT(('Booking Log'!$A$4:$A$400=$A61)*('Booking Log'!$B$4:$B$400=$B61)*('Booking Log'!$D$4:$D$400=$C61)*((((('Booking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61" s="11" t="n">
        <f aca="false">MIN(1,SUMPRODUCT(('Booking Log'!$A$4:$A$400=$A61)*('Booking Log'!$B$4:$B$400=$B61)*('Booking Log'!$D$4:$D$400=$C61)*((((('Booking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0.499999999999996</v>
      </c>
      <c r="L61" s="11" t="n">
        <f aca="false">MIN(1,SUMPRODUCT(('Booking Log'!$A$4:$A$400=$A61)*('Booking Log'!$B$4:$B$400=$B61)*('Booking Log'!$D$4:$D$400=$C61)*((((('Booking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1</v>
      </c>
      <c r="M61" s="21" t="n">
        <f aca="false">SUM(D61:L61)</f>
        <v>3</v>
      </c>
    </row>
    <row r="62" customFormat="false" ht="15" hidden="false" customHeight="false" outlineLevel="0" collapsed="false">
      <c r="A62" s="26" t="s">
        <v>237</v>
      </c>
      <c r="B62" s="26" t="s">
        <v>45</v>
      </c>
      <c r="C62" s="26" t="s">
        <v>117</v>
      </c>
      <c r="D62" s="11" t="n">
        <f aca="false">MIN(1,SUMPRODUCT(('Booking Log'!$A$4:$A$400=$A62)*('Booking Log'!$B$4:$B$400=$B62)*('Booking Log'!$D$4:$D$400=$C62)*((((('Booking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62" s="11" t="n">
        <f aca="false">MIN(1,SUMPRODUCT(('Booking Log'!$A$4:$A$400=$A62)*('Booking Log'!$B$4:$B$400=$B62)*('Booking Log'!$D$4:$D$400=$C62)*((((('Booking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0</v>
      </c>
      <c r="F62" s="11" t="n">
        <f aca="false">MIN(1,SUMPRODUCT(('Booking Log'!$A$4:$A$400=$A62)*('Booking Log'!$B$4:$B$400=$B62)*('Booking Log'!$D$4:$D$400=$C62)*((((('Booking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</v>
      </c>
      <c r="G62" s="11" t="n">
        <f aca="false">MIN(1,SUMPRODUCT(('Booking Log'!$A$4:$A$400=$A62)*('Booking Log'!$B$4:$B$400=$B62)*('Booking Log'!$D$4:$D$400=$C62)*((((('Booking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</v>
      </c>
      <c r="H62" s="11" t="n">
        <f aca="false">MIN(1,SUMPRODUCT(('Booking Log'!$A$4:$A$400=$A62)*('Booking Log'!$B$4:$B$400=$B62)*('Booking Log'!$D$4:$D$400=$C62)*((((('Booking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62" s="11" t="n">
        <f aca="false">MIN(1,SUMPRODUCT(('Booking Log'!$A$4:$A$400=$A62)*('Booking Log'!$B$4:$B$400=$B62)*('Booking Log'!$D$4:$D$400=$C62)*((((('Booking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62" s="11" t="n">
        <f aca="false">MIN(1,SUMPRODUCT(('Booking Log'!$A$4:$A$400=$A62)*('Booking Log'!$B$4:$B$400=$B62)*('Booking Log'!$D$4:$D$400=$C62)*((((('Booking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62" s="11" t="n">
        <f aca="false">MIN(1,SUMPRODUCT(('Booking Log'!$A$4:$A$400=$A62)*('Booking Log'!$B$4:$B$400=$B62)*('Booking Log'!$D$4:$D$400=$C62)*((((('Booking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62" s="11" t="n">
        <f aca="false">MIN(1,SUMPRODUCT(('Booking Log'!$A$4:$A$400=$A62)*('Booking Log'!$B$4:$B$400=$B62)*('Booking Log'!$D$4:$D$400=$C62)*((((('Booking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62" s="21" t="n">
        <f aca="false">SUM(D62:L62)</f>
        <v>0</v>
      </c>
    </row>
    <row r="63" customFormat="false" ht="15" hidden="false" customHeight="false" outlineLevel="0" collapsed="false">
      <c r="A63" s="26" t="s">
        <v>237</v>
      </c>
      <c r="B63" s="26" t="s">
        <v>45</v>
      </c>
      <c r="C63" s="26" t="s">
        <v>118</v>
      </c>
      <c r="D63" s="11" t="n">
        <f aca="false">MIN(1,SUMPRODUCT(('Booking Log'!$A$4:$A$400=$A63)*('Booking Log'!$B$4:$B$400=$B63)*('Booking Log'!$D$4:$D$400=$C63)*((((('Booking Log'!$G$4:$G$400+((D$2+1)/24)-ABS('Booking Log'!$G$4:$G$400-((D$2+1)/24)))/2)-(('Booking Log'!$F$4:$F$400+(D$2/24)+ABS('Booking Log'!$F$4:$F$400-(D$2/24)))/2))+ABS(((('Booking Log'!$G$4:$G$400+((D$2+1)/24)-ABS('Booking Log'!$G$4:$G$400-((D$2+1)/24)))/2)-(('Booking Log'!$F$4:$F$400+(D$2/24)+ABS('Booking Log'!$F$4:$F$400-(D$2/24)))/2))))/2))*24/Assumptions!$B$8)</f>
        <v>0</v>
      </c>
      <c r="E63" s="11" t="n">
        <f aca="false">MIN(1,SUMPRODUCT(('Booking Log'!$A$4:$A$400=$A63)*('Booking Log'!$B$4:$B$400=$B63)*('Booking Log'!$D$4:$D$400=$C63)*((((('Booking Log'!$G$4:$G$400+((E$2+1)/24)-ABS('Booking Log'!$G$4:$G$400-((E$2+1)/24)))/2)-(('Booking Log'!$F$4:$F$400+(E$2/24)+ABS('Booking Log'!$F$4:$F$400-(E$2/24)))/2))+ABS(((('Booking Log'!$G$4:$G$400+((E$2+1)/24)-ABS('Booking Log'!$G$4:$G$400-((E$2+1)/24)))/2)-(('Booking Log'!$F$4:$F$400+(E$2/24)+ABS('Booking Log'!$F$4:$F$400-(E$2/24)))/2))))/2))*24/Assumptions!$B$8)</f>
        <v>1</v>
      </c>
      <c r="F63" s="11" t="n">
        <f aca="false">MIN(1,SUMPRODUCT(('Booking Log'!$A$4:$A$400=$A63)*('Booking Log'!$B$4:$B$400=$B63)*('Booking Log'!$D$4:$D$400=$C63)*((((('Booking Log'!$G$4:$G$400+((F$2+1)/24)-ABS('Booking Log'!$G$4:$G$400-((F$2+1)/24)))/2)-(('Booking Log'!$F$4:$F$400+(F$2/24)+ABS('Booking Log'!$F$4:$F$400-(F$2/24)))/2))+ABS(((('Booking Log'!$G$4:$G$400+((F$2+1)/24)-ABS('Booking Log'!$G$4:$G$400-((F$2+1)/24)))/2)-(('Booking Log'!$F$4:$F$400+(F$2/24)+ABS('Booking Log'!$F$4:$F$400-(F$2/24)))/2))))/2))*24/Assumptions!$B$8)</f>
        <v>0.999999999999998</v>
      </c>
      <c r="G63" s="11" t="n">
        <f aca="false">MIN(1,SUMPRODUCT(('Booking Log'!$A$4:$A$400=$A63)*('Booking Log'!$B$4:$B$400=$B63)*('Booking Log'!$D$4:$D$400=$C63)*((((('Booking Log'!$G$4:$G$400+((G$2+1)/24)-ABS('Booking Log'!$G$4:$G$400-((G$2+1)/24)))/2)-(('Booking Log'!$F$4:$F$400+(G$2/24)+ABS('Booking Log'!$F$4:$F$400-(G$2/24)))/2))+ABS(((('Booking Log'!$G$4:$G$400+((G$2+1)/24)-ABS('Booking Log'!$G$4:$G$400-((G$2+1)/24)))/2)-(('Booking Log'!$F$4:$F$400+(G$2/24)+ABS('Booking Log'!$F$4:$F$400-(G$2/24)))/2))))/2))*24/Assumptions!$B$8)</f>
        <v>0.500000000000004</v>
      </c>
      <c r="H63" s="11" t="n">
        <f aca="false">MIN(1,SUMPRODUCT(('Booking Log'!$A$4:$A$400=$A63)*('Booking Log'!$B$4:$B$400=$B63)*('Booking Log'!$D$4:$D$400=$C63)*((((('Booking Log'!$G$4:$G$400+((H$2+1)/24)-ABS('Booking Log'!$G$4:$G$400-((H$2+1)/24)))/2)-(('Booking Log'!$F$4:$F$400+(H$2/24)+ABS('Booking Log'!$F$4:$F$400-(H$2/24)))/2))+ABS(((('Booking Log'!$G$4:$G$400+((H$2+1)/24)-ABS('Booking Log'!$G$4:$G$400-((H$2+1)/24)))/2)-(('Booking Log'!$F$4:$F$400+(H$2/24)+ABS('Booking Log'!$F$4:$F$400-(H$2/24)))/2))))/2))*24/Assumptions!$B$8)</f>
        <v>0</v>
      </c>
      <c r="I63" s="11" t="n">
        <f aca="false">MIN(1,SUMPRODUCT(('Booking Log'!$A$4:$A$400=$A63)*('Booking Log'!$B$4:$B$400=$B63)*('Booking Log'!$D$4:$D$400=$C63)*((((('Booking Log'!$G$4:$G$400+((I$2+1)/24)-ABS('Booking Log'!$G$4:$G$400-((I$2+1)/24)))/2)-(('Booking Log'!$F$4:$F$400+(I$2/24)+ABS('Booking Log'!$F$4:$F$400-(I$2/24)))/2))+ABS(((('Booking Log'!$G$4:$G$400+((I$2+1)/24)-ABS('Booking Log'!$G$4:$G$400-((I$2+1)/24)))/2)-(('Booking Log'!$F$4:$F$400+(I$2/24)+ABS('Booking Log'!$F$4:$F$400-(I$2/24)))/2))))/2))*24/Assumptions!$B$8)</f>
        <v>0</v>
      </c>
      <c r="J63" s="11" t="n">
        <f aca="false">MIN(1,SUMPRODUCT(('Booking Log'!$A$4:$A$400=$A63)*('Booking Log'!$B$4:$B$400=$B63)*('Booking Log'!$D$4:$D$400=$C63)*((((('Booking Log'!$G$4:$G$400+((J$2+1)/24)-ABS('Booking Log'!$G$4:$G$400-((J$2+1)/24)))/2)-(('Booking Log'!$F$4:$F$400+(J$2/24)+ABS('Booking Log'!$F$4:$F$400-(J$2/24)))/2))+ABS(((('Booking Log'!$G$4:$G$400+((J$2+1)/24)-ABS('Booking Log'!$G$4:$G$400-((J$2+1)/24)))/2)-(('Booking Log'!$F$4:$F$400+(J$2/24)+ABS('Booking Log'!$F$4:$F$400-(J$2/24)))/2))))/2))*24/Assumptions!$B$8)</f>
        <v>0</v>
      </c>
      <c r="K63" s="11" t="n">
        <f aca="false">MIN(1,SUMPRODUCT(('Booking Log'!$A$4:$A$400=$A63)*('Booking Log'!$B$4:$B$400=$B63)*('Booking Log'!$D$4:$D$400=$C63)*((((('Booking Log'!$G$4:$G$400+((K$2+1)/24)-ABS('Booking Log'!$G$4:$G$400-((K$2+1)/24)))/2)-(('Booking Log'!$F$4:$F$400+(K$2/24)+ABS('Booking Log'!$F$4:$F$400-(K$2/24)))/2))+ABS(((('Booking Log'!$G$4:$G$400+((K$2+1)/24)-ABS('Booking Log'!$G$4:$G$400-((K$2+1)/24)))/2)-(('Booking Log'!$F$4:$F$400+(K$2/24)+ABS('Booking Log'!$F$4:$F$400-(K$2/24)))/2))))/2))*24/Assumptions!$B$8)</f>
        <v>0</v>
      </c>
      <c r="L63" s="11" t="n">
        <f aca="false">MIN(1,SUMPRODUCT(('Booking Log'!$A$4:$A$400=$A63)*('Booking Log'!$B$4:$B$400=$B63)*('Booking Log'!$D$4:$D$400=$C63)*((((('Booking Log'!$G$4:$G$400+((L$2+1)/24)-ABS('Booking Log'!$G$4:$G$400-((L$2+1)/24)))/2)-(('Booking Log'!$F$4:$F$400+(L$2/24)+ABS('Booking Log'!$F$4:$F$400-(L$2/24)))/2))+ABS(((('Booking Log'!$G$4:$G$400+((L$2+1)/24)-ABS('Booking Log'!$G$4:$G$400-((L$2+1)/24)))/2)-(('Booking Log'!$F$4:$F$400+(L$2/24)+ABS('Booking Log'!$F$4:$F$400-(L$2/24)))/2))))/2))*24/Assumptions!$B$8)</f>
        <v>0</v>
      </c>
      <c r="M63" s="21" t="n">
        <f aca="false">SUM(D63:L63)</f>
        <v>2.5</v>
      </c>
    </row>
  </sheetData>
  <conditionalFormatting sqref="D4:L63">
    <cfRule type="colorScale" priority="2">
      <colorScale>
        <cfvo type="num" val="0"/>
        <cfvo type="num" val="0.5"/>
        <cfvo type="num" val="1"/>
        <color rgb="FFFFFFFF"/>
        <color rgb="FFF4B183"/>
        <color rgb="FF8C151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8" min="3" style="0" width="10"/>
    <col collapsed="false" customWidth="true" hidden="false" outlineLevel="0" max="9" min="9" style="0" width="2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4" min="12" style="0" width="12"/>
  </cols>
  <sheetData>
    <row r="1" customFormat="false" ht="17.35" hidden="false" customHeight="false" outlineLevel="0" collapsed="false">
      <c r="A1" s="1" t="s">
        <v>238</v>
      </c>
    </row>
    <row r="2" customFormat="false" ht="30" hidden="false" customHeight="true" outlineLevel="0" collapsed="false">
      <c r="A2" s="8" t="s">
        <v>31</v>
      </c>
      <c r="B2" s="8" t="s">
        <v>106</v>
      </c>
      <c r="C2" s="8" t="s">
        <v>239</v>
      </c>
      <c r="D2" s="8" t="s">
        <v>240</v>
      </c>
      <c r="E2" s="8" t="s">
        <v>241</v>
      </c>
      <c r="F2" s="8" t="s">
        <v>242</v>
      </c>
      <c r="G2" s="8" t="s">
        <v>243</v>
      </c>
      <c r="H2" s="8" t="s">
        <v>244</v>
      </c>
      <c r="J2" s="3" t="s">
        <v>245</v>
      </c>
    </row>
    <row r="3" customFormat="false" ht="30" hidden="false" customHeight="true" outlineLevel="0" collapsed="false">
      <c r="A3" s="17" t="s">
        <v>42</v>
      </c>
      <c r="B3" s="17" t="s">
        <v>246</v>
      </c>
      <c r="C3" s="32" t="n">
        <v>12</v>
      </c>
      <c r="D3" s="32" t="n">
        <v>11</v>
      </c>
      <c r="E3" s="32" t="n">
        <v>10</v>
      </c>
      <c r="F3" s="10" t="n">
        <f aca="false">C3*SUMIFS($M$4:$M$15,$J$4:$J$15,"Year 1",$K$4:$K$15,$A3)</f>
        <v>20.8</v>
      </c>
      <c r="G3" s="10" t="n">
        <f aca="false">D3*SUMIFS($M$4:$M$15,$J$4:$J$15,"Year 2",$K$4:$K$15,$A3)</f>
        <v>21.25</v>
      </c>
      <c r="H3" s="10" t="n">
        <f aca="false">E3*SUMIFS($M$4:$M$15,$J$4:$J$15,"Year 3",$K$4:$K$15,$A3)</f>
        <v>16.2909090909091</v>
      </c>
      <c r="J3" s="8" t="s">
        <v>229</v>
      </c>
      <c r="K3" s="8" t="s">
        <v>31</v>
      </c>
      <c r="L3" s="8" t="s">
        <v>247</v>
      </c>
      <c r="M3" s="8" t="s">
        <v>248</v>
      </c>
      <c r="N3" s="45" t="s">
        <v>249</v>
      </c>
    </row>
    <row r="4" customFormat="false" ht="15" hidden="false" customHeight="false" outlineLevel="0" collapsed="false">
      <c r="A4" s="17" t="s">
        <v>42</v>
      </c>
      <c r="B4" s="17" t="s">
        <v>250</v>
      </c>
      <c r="C4" s="32" t="n">
        <v>12</v>
      </c>
      <c r="D4" s="32" t="n">
        <v>11</v>
      </c>
      <c r="E4" s="32" t="n">
        <v>12</v>
      </c>
      <c r="F4" s="10" t="n">
        <f aca="false">C4*SUMIFS($M$4:$M$15,$J$4:$J$15,"Year 1",$K$4:$K$15,$A4)</f>
        <v>20.8</v>
      </c>
      <c r="G4" s="10" t="n">
        <f aca="false">D4*SUMIFS($M$4:$M$15,$J$4:$J$15,"Year 2",$K$4:$K$15,$A4)</f>
        <v>21.25</v>
      </c>
      <c r="H4" s="10" t="n">
        <f aca="false">E4*SUMIFS($M$4:$M$15,$J$4:$J$15,"Year 3",$K$4:$K$15,$A4)</f>
        <v>19.5490909090909</v>
      </c>
      <c r="J4" s="17" t="s">
        <v>235</v>
      </c>
      <c r="K4" s="17" t="s">
        <v>42</v>
      </c>
      <c r="L4" s="39" t="n">
        <v>26</v>
      </c>
      <c r="M4" s="46" t="n">
        <f aca="false">IF(N4=0,0,L4/N4)</f>
        <v>1.73333333333333</v>
      </c>
      <c r="N4" s="32" t="n">
        <v>15</v>
      </c>
    </row>
    <row r="5" customFormat="false" ht="15" hidden="false" customHeight="false" outlineLevel="0" collapsed="false">
      <c r="A5" s="17" t="s">
        <v>42</v>
      </c>
      <c r="B5" s="17" t="s">
        <v>251</v>
      </c>
      <c r="C5" s="32" t="n">
        <v>16</v>
      </c>
      <c r="D5" s="32" t="n">
        <v>14</v>
      </c>
      <c r="E5" s="32" t="n">
        <v>15</v>
      </c>
      <c r="F5" s="10" t="n">
        <f aca="false">C5*SUMIFS($M$4:$M$15,$J$4:$J$15,"Year 1",$K$4:$K$15,$A5)</f>
        <v>27.7333333333333</v>
      </c>
      <c r="G5" s="10" t="n">
        <f aca="false">D5*SUMIFS($M$4:$M$15,$J$4:$J$15,"Year 2",$K$4:$K$15,$A5)</f>
        <v>27.0454545454545</v>
      </c>
      <c r="H5" s="10" t="n">
        <f aca="false">E5*SUMIFS($M$4:$M$15,$J$4:$J$15,"Year 3",$K$4:$K$15,$A5)</f>
        <v>24.4363636363636</v>
      </c>
      <c r="J5" s="17" t="s">
        <v>235</v>
      </c>
      <c r="K5" s="17" t="s">
        <v>43</v>
      </c>
      <c r="L5" s="39" t="n">
        <v>19.17</v>
      </c>
      <c r="M5" s="46" t="n">
        <f aca="false">IF(N5=0,0,L5/N5)</f>
        <v>1.47461538461538</v>
      </c>
      <c r="N5" s="32" t="n">
        <v>13</v>
      </c>
    </row>
    <row r="6" customFormat="false" ht="15" hidden="false" customHeight="false" outlineLevel="0" collapsed="false">
      <c r="A6" s="17" t="s">
        <v>42</v>
      </c>
      <c r="B6" s="17" t="s">
        <v>252</v>
      </c>
      <c r="C6" s="32" t="n">
        <v>13</v>
      </c>
      <c r="D6" s="32" t="n">
        <v>12</v>
      </c>
      <c r="E6" s="32" t="n">
        <v>12</v>
      </c>
      <c r="F6" s="10" t="n">
        <f aca="false">C6*SUMIFS($M$4:$M$15,$J$4:$J$15,"Year 1",$K$4:$K$15,$A6)</f>
        <v>22.5333333333333</v>
      </c>
      <c r="G6" s="10" t="n">
        <f aca="false">D6*SUMIFS($M$4:$M$15,$J$4:$J$15,"Year 2",$K$4:$K$15,$A6)</f>
        <v>23.1818181818182</v>
      </c>
      <c r="H6" s="10" t="n">
        <f aca="false">E6*SUMIFS($M$4:$M$15,$J$4:$J$15,"Year 3",$K$4:$K$15,$A6)</f>
        <v>19.5490909090909</v>
      </c>
      <c r="J6" s="17" t="s">
        <v>235</v>
      </c>
      <c r="K6" s="17" t="s">
        <v>44</v>
      </c>
      <c r="L6" s="39" t="n">
        <v>17.75</v>
      </c>
      <c r="M6" s="46" t="n">
        <f aca="false">IF(N6=0,0,L6/N6)</f>
        <v>1.47916666666667</v>
      </c>
      <c r="N6" s="32" t="n">
        <v>12</v>
      </c>
    </row>
    <row r="7" customFormat="false" ht="15" hidden="false" customHeight="false" outlineLevel="0" collapsed="false">
      <c r="A7" s="17" t="s">
        <v>42</v>
      </c>
      <c r="B7" s="17" t="s">
        <v>253</v>
      </c>
      <c r="C7" s="32" t="n">
        <v>15</v>
      </c>
      <c r="D7" s="32" t="n">
        <v>11</v>
      </c>
      <c r="E7" s="32" t="n">
        <v>11</v>
      </c>
      <c r="F7" s="10" t="n">
        <f aca="false">C7*SUMIFS($M$4:$M$15,$J$4:$J$15,"Year 1",$K$4:$K$15,$A7)</f>
        <v>26</v>
      </c>
      <c r="G7" s="10" t="n">
        <f aca="false">D7*SUMIFS($M$4:$M$15,$J$4:$J$15,"Year 2",$K$4:$K$15,$A7)</f>
        <v>21.25</v>
      </c>
      <c r="H7" s="10" t="n">
        <f aca="false">E7*SUMIFS($M$4:$M$15,$J$4:$J$15,"Year 3",$K$4:$K$15,$A7)</f>
        <v>17.92</v>
      </c>
      <c r="J7" s="17" t="s">
        <v>235</v>
      </c>
      <c r="K7" s="17" t="s">
        <v>45</v>
      </c>
      <c r="L7" s="39" t="n">
        <v>9</v>
      </c>
      <c r="M7" s="46" t="n">
        <f aca="false">IF(N7=0,0,L7/N7)</f>
        <v>1.8</v>
      </c>
      <c r="N7" s="32" t="n">
        <v>5</v>
      </c>
    </row>
    <row r="8" customFormat="false" ht="15" hidden="false" customHeight="false" outlineLevel="0" collapsed="false">
      <c r="A8" s="17" t="s">
        <v>42</v>
      </c>
      <c r="B8" s="17" t="s">
        <v>254</v>
      </c>
      <c r="C8" s="32" t="n">
        <v>14</v>
      </c>
      <c r="D8" s="32" t="n">
        <v>12</v>
      </c>
      <c r="E8" s="32" t="n">
        <v>13</v>
      </c>
      <c r="F8" s="10" t="n">
        <f aca="false">C8*SUMIFS($M$4:$M$15,$J$4:$J$15,"Year 1",$K$4:$K$15,$A8)</f>
        <v>24.2666666666667</v>
      </c>
      <c r="G8" s="10" t="n">
        <f aca="false">D8*SUMIFS($M$4:$M$15,$J$4:$J$15,"Year 2",$K$4:$K$15,$A8)</f>
        <v>23.1818181818182</v>
      </c>
      <c r="H8" s="10" t="n">
        <f aca="false">E8*SUMIFS($M$4:$M$15,$J$4:$J$15,"Year 3",$K$4:$K$15,$A8)</f>
        <v>21.1781818181818</v>
      </c>
      <c r="J8" s="17" t="s">
        <v>236</v>
      </c>
      <c r="K8" s="17" t="s">
        <v>42</v>
      </c>
      <c r="L8" s="39" t="n">
        <v>21.25</v>
      </c>
      <c r="M8" s="46" t="n">
        <f aca="false">IF(N8=0,0,L8/N8)</f>
        <v>1.93181818181818</v>
      </c>
      <c r="N8" s="32" t="n">
        <v>11</v>
      </c>
    </row>
    <row r="9" customFormat="false" ht="15" hidden="false" customHeight="false" outlineLevel="0" collapsed="false">
      <c r="A9" s="17" t="s">
        <v>42</v>
      </c>
      <c r="B9" s="17" t="s">
        <v>255</v>
      </c>
      <c r="C9" s="32" t="n">
        <v>14</v>
      </c>
      <c r="D9" s="32" t="n">
        <v>14</v>
      </c>
      <c r="E9" s="32" t="n">
        <v>15</v>
      </c>
      <c r="F9" s="10" t="n">
        <f aca="false">C9*SUMIFS($M$4:$M$15,$J$4:$J$15,"Year 1",$K$4:$K$15,$A9)</f>
        <v>24.2666666666667</v>
      </c>
      <c r="G9" s="10" t="n">
        <f aca="false">D9*SUMIFS($M$4:$M$15,$J$4:$J$15,"Year 2",$K$4:$K$15,$A9)</f>
        <v>27.0454545454545</v>
      </c>
      <c r="H9" s="10" t="n">
        <f aca="false">E9*SUMIFS($M$4:$M$15,$J$4:$J$15,"Year 3",$K$4:$K$15,$A9)</f>
        <v>24.4363636363636</v>
      </c>
      <c r="J9" s="17" t="s">
        <v>236</v>
      </c>
      <c r="K9" s="17" t="s">
        <v>43</v>
      </c>
      <c r="L9" s="39" t="n">
        <v>20.75</v>
      </c>
      <c r="M9" s="46" t="n">
        <f aca="false">IF(N9=0,0,L9/N9)</f>
        <v>1.48214285714286</v>
      </c>
      <c r="N9" s="32" t="n">
        <v>14</v>
      </c>
    </row>
    <row r="10" customFormat="false" ht="15" hidden="false" customHeight="false" outlineLevel="0" collapsed="false">
      <c r="A10" s="17" t="s">
        <v>42</v>
      </c>
      <c r="B10" s="17" t="s">
        <v>256</v>
      </c>
      <c r="C10" s="32" t="n">
        <v>14</v>
      </c>
      <c r="D10" s="32" t="n">
        <v>12</v>
      </c>
      <c r="E10" s="32" t="n">
        <v>14</v>
      </c>
      <c r="F10" s="10" t="n">
        <f aca="false">C10*SUMIFS($M$4:$M$15,$J$4:$J$15,"Year 1",$K$4:$K$15,$A10)</f>
        <v>24.2666666666667</v>
      </c>
      <c r="G10" s="10" t="n">
        <f aca="false">D10*SUMIFS($M$4:$M$15,$J$4:$J$15,"Year 2",$K$4:$K$15,$A10)</f>
        <v>23.1818181818182</v>
      </c>
      <c r="H10" s="10" t="n">
        <f aca="false">E10*SUMIFS($M$4:$M$15,$J$4:$J$15,"Year 3",$K$4:$K$15,$A10)</f>
        <v>22.8072727272727</v>
      </c>
      <c r="J10" s="17" t="s">
        <v>236</v>
      </c>
      <c r="K10" s="17" t="s">
        <v>44</v>
      </c>
      <c r="L10" s="39" t="n">
        <v>16.75</v>
      </c>
      <c r="M10" s="46" t="n">
        <f aca="false">IF(N10=0,0,L10/N10)</f>
        <v>1.52272727272727</v>
      </c>
      <c r="N10" s="32" t="n">
        <v>11</v>
      </c>
    </row>
    <row r="11" customFormat="false" ht="15" hidden="false" customHeight="false" outlineLevel="0" collapsed="false">
      <c r="A11" s="17" t="s">
        <v>42</v>
      </c>
      <c r="B11" s="17" t="s">
        <v>257</v>
      </c>
      <c r="C11" s="32" t="n">
        <v>14</v>
      </c>
      <c r="D11" s="32" t="n">
        <v>10</v>
      </c>
      <c r="E11" s="32" t="n">
        <v>15</v>
      </c>
      <c r="F11" s="10" t="n">
        <f aca="false">C11*SUMIFS($M$4:$M$15,$J$4:$J$15,"Year 1",$K$4:$K$15,$A11)</f>
        <v>24.2666666666667</v>
      </c>
      <c r="G11" s="10" t="n">
        <f aca="false">D11*SUMIFS($M$4:$M$15,$J$4:$J$15,"Year 2",$K$4:$K$15,$A11)</f>
        <v>19.3181818181818</v>
      </c>
      <c r="H11" s="10" t="n">
        <f aca="false">E11*SUMIFS($M$4:$M$15,$J$4:$J$15,"Year 3",$K$4:$K$15,$A11)</f>
        <v>24.4363636363636</v>
      </c>
      <c r="J11" s="17" t="s">
        <v>236</v>
      </c>
      <c r="K11" s="17" t="s">
        <v>45</v>
      </c>
      <c r="L11" s="39" t="n">
        <v>18</v>
      </c>
      <c r="M11" s="46" t="n">
        <f aca="false">IF(N11=0,0,L11/N11)</f>
        <v>1.8</v>
      </c>
      <c r="N11" s="32" t="n">
        <v>10</v>
      </c>
    </row>
    <row r="12" customFormat="false" ht="15" hidden="false" customHeight="false" outlineLevel="0" collapsed="false">
      <c r="A12" s="17" t="s">
        <v>42</v>
      </c>
      <c r="B12" s="17" t="s">
        <v>258</v>
      </c>
      <c r="C12" s="32" t="n">
        <v>14</v>
      </c>
      <c r="D12" s="32" t="n">
        <v>10</v>
      </c>
      <c r="E12" s="32" t="n">
        <v>13</v>
      </c>
      <c r="F12" s="10" t="n">
        <f aca="false">C12*SUMIFS($M$4:$M$15,$J$4:$J$15,"Year 1",$K$4:$K$15,$A12)</f>
        <v>24.2666666666667</v>
      </c>
      <c r="G12" s="10" t="n">
        <f aca="false">D12*SUMIFS($M$4:$M$15,$J$4:$J$15,"Year 2",$K$4:$K$15,$A12)</f>
        <v>19.3181818181818</v>
      </c>
      <c r="H12" s="10" t="n">
        <f aca="false">E12*SUMIFS($M$4:$M$15,$J$4:$J$15,"Year 3",$K$4:$K$15,$A12)</f>
        <v>21.1781818181818</v>
      </c>
      <c r="J12" s="17" t="s">
        <v>237</v>
      </c>
      <c r="K12" s="17" t="s">
        <v>42</v>
      </c>
      <c r="L12" s="39" t="n">
        <v>17.92</v>
      </c>
      <c r="M12" s="46" t="n">
        <f aca="false">IF(N12=0,0,L12/N12)</f>
        <v>1.62909090909091</v>
      </c>
      <c r="N12" s="32" t="n">
        <v>11</v>
      </c>
    </row>
    <row r="13" customFormat="false" ht="15" hidden="false" customHeight="false" outlineLevel="0" collapsed="false">
      <c r="A13" s="17" t="s">
        <v>42</v>
      </c>
      <c r="B13" s="17" t="s">
        <v>259</v>
      </c>
      <c r="C13" s="32" t="n">
        <v>14</v>
      </c>
      <c r="D13" s="32" t="n">
        <v>16</v>
      </c>
      <c r="E13" s="32" t="n">
        <v>14</v>
      </c>
      <c r="F13" s="10" t="n">
        <f aca="false">C13*SUMIFS($M$4:$M$15,$J$4:$J$15,"Year 1",$K$4:$K$15,$A13)</f>
        <v>24.2666666666667</v>
      </c>
      <c r="G13" s="10" t="n">
        <f aca="false">D13*SUMIFS($M$4:$M$15,$J$4:$J$15,"Year 2",$K$4:$K$15,$A13)</f>
        <v>30.9090909090909</v>
      </c>
      <c r="H13" s="10" t="n">
        <f aca="false">E13*SUMIFS($M$4:$M$15,$J$4:$J$15,"Year 3",$K$4:$K$15,$A13)</f>
        <v>22.8072727272727</v>
      </c>
      <c r="J13" s="17" t="s">
        <v>237</v>
      </c>
      <c r="K13" s="17" t="s">
        <v>43</v>
      </c>
      <c r="L13" s="39" t="n">
        <v>19.92</v>
      </c>
      <c r="M13" s="46" t="n">
        <f aca="false">IF(N13=0,0,L13/N13)</f>
        <v>1.66</v>
      </c>
      <c r="N13" s="32" t="n">
        <v>12</v>
      </c>
    </row>
    <row r="14" customFormat="false" ht="15" hidden="false" customHeight="false" outlineLevel="0" collapsed="false">
      <c r="A14" s="17" t="s">
        <v>42</v>
      </c>
      <c r="B14" s="17" t="s">
        <v>260</v>
      </c>
      <c r="C14" s="32" t="n">
        <v>13</v>
      </c>
      <c r="D14" s="32" t="n">
        <v>13</v>
      </c>
      <c r="E14" s="32" t="n">
        <v>12</v>
      </c>
      <c r="F14" s="10" t="n">
        <f aca="false">C14*SUMIFS($M$4:$M$15,$J$4:$J$15,"Year 1",$K$4:$K$15,$A14)</f>
        <v>22.5333333333333</v>
      </c>
      <c r="G14" s="10" t="n">
        <f aca="false">D14*SUMIFS($M$4:$M$15,$J$4:$J$15,"Year 2",$K$4:$K$15,$A14)</f>
        <v>25.1136363636364</v>
      </c>
      <c r="H14" s="10" t="n">
        <f aca="false">E14*SUMIFS($M$4:$M$15,$J$4:$J$15,"Year 3",$K$4:$K$15,$A14)</f>
        <v>19.5490909090909</v>
      </c>
      <c r="J14" s="17" t="s">
        <v>237</v>
      </c>
      <c r="K14" s="17" t="s">
        <v>44</v>
      </c>
      <c r="L14" s="39" t="n">
        <v>22</v>
      </c>
      <c r="M14" s="46" t="n">
        <f aca="false">IF(N14=0,0,L14/N14)</f>
        <v>1.83333333333333</v>
      </c>
      <c r="N14" s="32" t="n">
        <v>12</v>
      </c>
    </row>
    <row r="15" customFormat="false" ht="15" hidden="false" customHeight="false" outlineLevel="0" collapsed="false">
      <c r="A15" s="17" t="s">
        <v>43</v>
      </c>
      <c r="B15" s="17" t="s">
        <v>261</v>
      </c>
      <c r="C15" s="32" t="n">
        <v>12</v>
      </c>
      <c r="D15" s="32" t="n">
        <v>14</v>
      </c>
      <c r="E15" s="32" t="n">
        <v>10</v>
      </c>
      <c r="F15" s="10" t="n">
        <f aca="false">C15*SUMIFS($M$4:$M$15,$J$4:$J$15,"Year 1",$K$4:$K$15,$A15)</f>
        <v>17.6953846153846</v>
      </c>
      <c r="G15" s="10" t="n">
        <f aca="false">D15*SUMIFS($M$4:$M$15,$J$4:$J$15,"Year 2",$K$4:$K$15,$A15)</f>
        <v>20.75</v>
      </c>
      <c r="H15" s="10" t="n">
        <f aca="false">E15*SUMIFS($M$4:$M$15,$J$4:$J$15,"Year 3",$K$4:$K$15,$A15)</f>
        <v>16.6</v>
      </c>
      <c r="J15" s="17" t="s">
        <v>237</v>
      </c>
      <c r="K15" s="17" t="s">
        <v>45</v>
      </c>
      <c r="L15" s="39" t="n">
        <v>9</v>
      </c>
      <c r="M15" s="46" t="n">
        <f aca="false">IF(N15=0,0,L15/N15)</f>
        <v>1.8</v>
      </c>
      <c r="N15" s="32" t="n">
        <v>5</v>
      </c>
    </row>
    <row r="16" customFormat="false" ht="15" hidden="false" customHeight="false" outlineLevel="0" collapsed="false">
      <c r="A16" s="17" t="s">
        <v>43</v>
      </c>
      <c r="B16" s="17" t="s">
        <v>262</v>
      </c>
      <c r="C16" s="32" t="n">
        <v>13</v>
      </c>
      <c r="D16" s="32" t="n">
        <v>13</v>
      </c>
      <c r="E16" s="32" t="n">
        <v>11</v>
      </c>
      <c r="F16" s="10" t="n">
        <f aca="false">C16*SUMIFS($M$4:$M$15,$J$4:$J$15,"Year 1",$K$4:$K$15,$A16)</f>
        <v>19.17</v>
      </c>
      <c r="G16" s="10" t="n">
        <f aca="false">D16*SUMIFS($M$4:$M$15,$J$4:$J$15,"Year 2",$K$4:$K$15,$A16)</f>
        <v>19.2678571428571</v>
      </c>
      <c r="H16" s="10" t="n">
        <f aca="false">E16*SUMIFS($M$4:$M$15,$J$4:$J$15,"Year 3",$K$4:$K$15,$A16)</f>
        <v>18.26</v>
      </c>
    </row>
    <row r="17" customFormat="false" ht="15" hidden="false" customHeight="false" outlineLevel="0" collapsed="false">
      <c r="A17" s="17" t="s">
        <v>43</v>
      </c>
      <c r="B17" s="17" t="s">
        <v>263</v>
      </c>
      <c r="C17" s="32" t="n">
        <v>18</v>
      </c>
      <c r="D17" s="32" t="n">
        <v>16</v>
      </c>
      <c r="E17" s="32" t="n">
        <v>12</v>
      </c>
      <c r="F17" s="10" t="n">
        <f aca="false">C17*SUMIFS($M$4:$M$15,$J$4:$J$15,"Year 1",$K$4:$K$15,$A17)</f>
        <v>26.5430769230769</v>
      </c>
      <c r="G17" s="10" t="n">
        <f aca="false">D17*SUMIFS($M$4:$M$15,$J$4:$J$15,"Year 2",$K$4:$K$15,$A17)</f>
        <v>23.7142857142857</v>
      </c>
      <c r="H17" s="10" t="n">
        <f aca="false">E17*SUMIFS($M$4:$M$15,$J$4:$J$15,"Year 3",$K$4:$K$15,$A17)</f>
        <v>19.92</v>
      </c>
    </row>
    <row r="18" customFormat="false" ht="15" hidden="false" customHeight="false" outlineLevel="0" collapsed="false">
      <c r="A18" s="17" t="s">
        <v>43</v>
      </c>
      <c r="B18" s="17" t="s">
        <v>264</v>
      </c>
      <c r="C18" s="32" t="n">
        <v>14</v>
      </c>
      <c r="D18" s="32" t="n">
        <v>14</v>
      </c>
      <c r="E18" s="32" t="n">
        <v>11</v>
      </c>
      <c r="F18" s="10" t="n">
        <f aca="false">C18*SUMIFS($M$4:$M$15,$J$4:$J$15,"Year 1",$K$4:$K$15,$A18)</f>
        <v>20.6446153846154</v>
      </c>
      <c r="G18" s="10" t="n">
        <f aca="false">D18*SUMIFS($M$4:$M$15,$J$4:$J$15,"Year 2",$K$4:$K$15,$A18)</f>
        <v>20.75</v>
      </c>
      <c r="H18" s="10" t="n">
        <f aca="false">E18*SUMIFS($M$4:$M$15,$J$4:$J$15,"Year 3",$K$4:$K$15,$A18)</f>
        <v>18.26</v>
      </c>
    </row>
    <row r="19" customFormat="false" ht="15" hidden="false" customHeight="false" outlineLevel="0" collapsed="false">
      <c r="A19" s="17" t="s">
        <v>43</v>
      </c>
      <c r="B19" s="17" t="s">
        <v>265</v>
      </c>
      <c r="C19" s="32" t="n">
        <v>13</v>
      </c>
      <c r="D19" s="32" t="n">
        <v>14</v>
      </c>
      <c r="E19" s="32" t="n">
        <v>12</v>
      </c>
      <c r="F19" s="10" t="n">
        <f aca="false">C19*SUMIFS($M$4:$M$15,$J$4:$J$15,"Year 1",$K$4:$K$15,$A19)</f>
        <v>19.17</v>
      </c>
      <c r="G19" s="10" t="n">
        <f aca="false">D19*SUMIFS($M$4:$M$15,$J$4:$J$15,"Year 2",$K$4:$K$15,$A19)</f>
        <v>20.75</v>
      </c>
      <c r="H19" s="10" t="n">
        <f aca="false">E19*SUMIFS($M$4:$M$15,$J$4:$J$15,"Year 3",$K$4:$K$15,$A19)</f>
        <v>19.92</v>
      </c>
    </row>
    <row r="20" customFormat="false" ht="15" hidden="false" customHeight="false" outlineLevel="0" collapsed="false">
      <c r="A20" s="17" t="s">
        <v>43</v>
      </c>
      <c r="B20" s="17" t="s">
        <v>266</v>
      </c>
      <c r="C20" s="32" t="n">
        <v>13</v>
      </c>
      <c r="D20" s="32" t="n">
        <v>17</v>
      </c>
      <c r="E20" s="32" t="n">
        <v>12</v>
      </c>
      <c r="F20" s="10" t="n">
        <f aca="false">C20*SUMIFS($M$4:$M$15,$J$4:$J$15,"Year 1",$K$4:$K$15,$A20)</f>
        <v>19.17</v>
      </c>
      <c r="G20" s="10" t="n">
        <f aca="false">D20*SUMIFS($M$4:$M$15,$J$4:$J$15,"Year 2",$K$4:$K$15,$A20)</f>
        <v>25.1964285714286</v>
      </c>
      <c r="H20" s="10" t="n">
        <f aca="false">E20*SUMIFS($M$4:$M$15,$J$4:$J$15,"Year 3",$K$4:$K$15,$A20)</f>
        <v>19.92</v>
      </c>
    </row>
    <row r="21" customFormat="false" ht="15" hidden="false" customHeight="false" outlineLevel="0" collapsed="false">
      <c r="A21" s="17" t="s">
        <v>43</v>
      </c>
      <c r="B21" s="17" t="s">
        <v>267</v>
      </c>
      <c r="C21" s="32" t="n">
        <v>13</v>
      </c>
      <c r="D21" s="32" t="n">
        <v>16</v>
      </c>
      <c r="E21" s="32" t="n">
        <v>13</v>
      </c>
      <c r="F21" s="10" t="n">
        <f aca="false">C21*SUMIFS($M$4:$M$15,$J$4:$J$15,"Year 1",$K$4:$K$15,$A21)</f>
        <v>19.17</v>
      </c>
      <c r="G21" s="10" t="n">
        <f aca="false">D21*SUMIFS($M$4:$M$15,$J$4:$J$15,"Year 2",$K$4:$K$15,$A21)</f>
        <v>23.7142857142857</v>
      </c>
      <c r="H21" s="10" t="n">
        <f aca="false">E21*SUMIFS($M$4:$M$15,$J$4:$J$15,"Year 3",$K$4:$K$15,$A21)</f>
        <v>21.58</v>
      </c>
    </row>
    <row r="22" customFormat="false" ht="15" hidden="false" customHeight="false" outlineLevel="0" collapsed="false">
      <c r="A22" s="17" t="s">
        <v>43</v>
      </c>
      <c r="B22" s="17" t="s">
        <v>268</v>
      </c>
      <c r="C22" s="32" t="n">
        <v>14</v>
      </c>
      <c r="D22" s="32" t="n">
        <v>15</v>
      </c>
      <c r="E22" s="32" t="n">
        <v>12</v>
      </c>
      <c r="F22" s="10" t="n">
        <f aca="false">C22*SUMIFS($M$4:$M$15,$J$4:$J$15,"Year 1",$K$4:$K$15,$A22)</f>
        <v>20.6446153846154</v>
      </c>
      <c r="G22" s="10" t="n">
        <f aca="false">D22*SUMIFS($M$4:$M$15,$J$4:$J$15,"Year 2",$K$4:$K$15,$A22)</f>
        <v>22.2321428571429</v>
      </c>
      <c r="H22" s="10" t="n">
        <f aca="false">E22*SUMIFS($M$4:$M$15,$J$4:$J$15,"Year 3",$K$4:$K$15,$A22)</f>
        <v>19.92</v>
      </c>
    </row>
    <row r="23" customFormat="false" ht="15" hidden="false" customHeight="false" outlineLevel="0" collapsed="false">
      <c r="A23" s="17" t="s">
        <v>43</v>
      </c>
      <c r="B23" s="17" t="s">
        <v>269</v>
      </c>
      <c r="C23" s="32" t="n">
        <v>15</v>
      </c>
      <c r="D23" s="32" t="n">
        <v>16</v>
      </c>
      <c r="E23" s="32" t="n">
        <v>12</v>
      </c>
      <c r="F23" s="10" t="n">
        <f aca="false">C23*SUMIFS($M$4:$M$15,$J$4:$J$15,"Year 1",$K$4:$K$15,$A23)</f>
        <v>22.1192307692308</v>
      </c>
      <c r="G23" s="10" t="n">
        <f aca="false">D23*SUMIFS($M$4:$M$15,$J$4:$J$15,"Year 2",$K$4:$K$15,$A23)</f>
        <v>23.7142857142857</v>
      </c>
      <c r="H23" s="10" t="n">
        <f aca="false">E23*SUMIFS($M$4:$M$15,$J$4:$J$15,"Year 3",$K$4:$K$15,$A23)</f>
        <v>19.92</v>
      </c>
    </row>
    <row r="24" customFormat="false" ht="15" hidden="false" customHeight="false" outlineLevel="0" collapsed="false">
      <c r="A24" s="17" t="s">
        <v>43</v>
      </c>
      <c r="B24" s="17" t="s">
        <v>270</v>
      </c>
      <c r="C24" s="32" t="n">
        <v>15</v>
      </c>
      <c r="D24" s="32" t="n">
        <v>14</v>
      </c>
      <c r="E24" s="32" t="n">
        <v>13</v>
      </c>
      <c r="F24" s="10" t="n">
        <f aca="false">C24*SUMIFS($M$4:$M$15,$J$4:$J$15,"Year 1",$K$4:$K$15,$A24)</f>
        <v>22.1192307692308</v>
      </c>
      <c r="G24" s="10" t="n">
        <f aca="false">D24*SUMIFS($M$4:$M$15,$J$4:$J$15,"Year 2",$K$4:$K$15,$A24)</f>
        <v>20.75</v>
      </c>
      <c r="H24" s="10" t="n">
        <f aca="false">E24*SUMIFS($M$4:$M$15,$J$4:$J$15,"Year 3",$K$4:$K$15,$A24)</f>
        <v>21.58</v>
      </c>
    </row>
    <row r="25" customFormat="false" ht="15" hidden="false" customHeight="false" outlineLevel="0" collapsed="false">
      <c r="A25" s="17" t="s">
        <v>43</v>
      </c>
      <c r="B25" s="17" t="s">
        <v>271</v>
      </c>
      <c r="C25" s="32" t="n">
        <v>6</v>
      </c>
      <c r="D25" s="32" t="n">
        <v>9</v>
      </c>
      <c r="E25" s="32" t="n">
        <v>9</v>
      </c>
      <c r="F25" s="10" t="n">
        <f aca="false">C25*SUMIFS($M$4:$M$15,$J$4:$J$15,"Year 1",$K$4:$K$15,$A25)</f>
        <v>8.84769230769231</v>
      </c>
      <c r="G25" s="10" t="n">
        <f aca="false">D25*SUMIFS($M$4:$M$15,$J$4:$J$15,"Year 2",$K$4:$K$15,$A25)</f>
        <v>13.3392857142857</v>
      </c>
      <c r="H25" s="10" t="n">
        <f aca="false">E25*SUMIFS($M$4:$M$15,$J$4:$J$15,"Year 3",$K$4:$K$15,$A25)</f>
        <v>14.94</v>
      </c>
    </row>
    <row r="26" customFormat="false" ht="15" hidden="false" customHeight="false" outlineLevel="0" collapsed="false">
      <c r="A26" s="17" t="s">
        <v>44</v>
      </c>
      <c r="B26" s="17" t="s">
        <v>272</v>
      </c>
      <c r="C26" s="32" t="n">
        <v>11</v>
      </c>
      <c r="D26" s="32" t="n">
        <v>12</v>
      </c>
      <c r="E26" s="32" t="n">
        <v>11</v>
      </c>
      <c r="F26" s="10" t="n">
        <f aca="false">C26*SUMIFS($M$4:$M$15,$J$4:$J$15,"Year 1",$K$4:$K$15,$A26)</f>
        <v>16.2708333333333</v>
      </c>
      <c r="G26" s="10" t="n">
        <f aca="false">D26*SUMIFS($M$4:$M$15,$J$4:$J$15,"Year 2",$K$4:$K$15,$A26)</f>
        <v>18.2727272727273</v>
      </c>
      <c r="H26" s="10" t="n">
        <f aca="false">E26*SUMIFS($M$4:$M$15,$J$4:$J$15,"Year 3",$K$4:$K$15,$A26)</f>
        <v>20.1666666666667</v>
      </c>
    </row>
    <row r="27" customFormat="false" ht="15" hidden="false" customHeight="false" outlineLevel="0" collapsed="false">
      <c r="A27" s="17" t="s">
        <v>44</v>
      </c>
      <c r="B27" s="17" t="s">
        <v>273</v>
      </c>
      <c r="C27" s="32" t="n">
        <v>10</v>
      </c>
      <c r="D27" s="32" t="n">
        <v>13</v>
      </c>
      <c r="E27" s="32" t="n">
        <v>8</v>
      </c>
      <c r="F27" s="10" t="n">
        <f aca="false">C27*SUMIFS($M$4:$M$15,$J$4:$J$15,"Year 1",$K$4:$K$15,$A27)</f>
        <v>14.7916666666667</v>
      </c>
      <c r="G27" s="10" t="n">
        <f aca="false">D27*SUMIFS($M$4:$M$15,$J$4:$J$15,"Year 2",$K$4:$K$15,$A27)</f>
        <v>19.7954545454545</v>
      </c>
      <c r="H27" s="10" t="n">
        <f aca="false">E27*SUMIFS($M$4:$M$15,$J$4:$J$15,"Year 3",$K$4:$K$15,$A27)</f>
        <v>14.6666666666667</v>
      </c>
    </row>
    <row r="28" customFormat="false" ht="15" hidden="false" customHeight="false" outlineLevel="0" collapsed="false">
      <c r="A28" s="17" t="s">
        <v>44</v>
      </c>
      <c r="B28" s="17" t="s">
        <v>274</v>
      </c>
      <c r="C28" s="32" t="n">
        <v>13</v>
      </c>
      <c r="D28" s="32" t="n">
        <v>11</v>
      </c>
      <c r="E28" s="32" t="n">
        <v>12</v>
      </c>
      <c r="F28" s="10" t="n">
        <f aca="false">C28*SUMIFS($M$4:$M$15,$J$4:$J$15,"Year 1",$K$4:$K$15,$A28)</f>
        <v>19.2291666666667</v>
      </c>
      <c r="G28" s="10" t="n">
        <f aca="false">D28*SUMIFS($M$4:$M$15,$J$4:$J$15,"Year 2",$K$4:$K$15,$A28)</f>
        <v>16.75</v>
      </c>
      <c r="H28" s="10" t="n">
        <f aca="false">E28*SUMIFS($M$4:$M$15,$J$4:$J$15,"Year 3",$K$4:$K$15,$A28)</f>
        <v>22</v>
      </c>
    </row>
    <row r="29" customFormat="false" ht="15" hidden="false" customHeight="false" outlineLevel="0" collapsed="false">
      <c r="A29" s="17" t="s">
        <v>44</v>
      </c>
      <c r="B29" s="17" t="s">
        <v>275</v>
      </c>
      <c r="C29" s="32" t="n">
        <v>10</v>
      </c>
      <c r="D29" s="32" t="n">
        <v>13</v>
      </c>
      <c r="E29" s="32" t="n">
        <v>11</v>
      </c>
      <c r="F29" s="10" t="n">
        <f aca="false">C29*SUMIFS($M$4:$M$15,$J$4:$J$15,"Year 1",$K$4:$K$15,$A29)</f>
        <v>14.7916666666667</v>
      </c>
      <c r="G29" s="10" t="n">
        <f aca="false">D29*SUMIFS($M$4:$M$15,$J$4:$J$15,"Year 2",$K$4:$K$15,$A29)</f>
        <v>19.7954545454545</v>
      </c>
      <c r="H29" s="10" t="n">
        <f aca="false">E29*SUMIFS($M$4:$M$15,$J$4:$J$15,"Year 3",$K$4:$K$15,$A29)</f>
        <v>20.1666666666667</v>
      </c>
    </row>
    <row r="30" customFormat="false" ht="15" hidden="false" customHeight="false" outlineLevel="0" collapsed="false">
      <c r="A30" s="17" t="s">
        <v>44</v>
      </c>
      <c r="B30" s="17" t="s">
        <v>276</v>
      </c>
      <c r="C30" s="32" t="n">
        <v>12</v>
      </c>
      <c r="D30" s="32" t="n">
        <v>11</v>
      </c>
      <c r="E30" s="32" t="n">
        <v>12</v>
      </c>
      <c r="F30" s="10" t="n">
        <f aca="false">C30*SUMIFS($M$4:$M$15,$J$4:$J$15,"Year 1",$K$4:$K$15,$A30)</f>
        <v>17.75</v>
      </c>
      <c r="G30" s="10" t="n">
        <f aca="false">D30*SUMIFS($M$4:$M$15,$J$4:$J$15,"Year 2",$K$4:$K$15,$A30)</f>
        <v>16.75</v>
      </c>
      <c r="H30" s="10" t="n">
        <f aca="false">E30*SUMIFS($M$4:$M$15,$J$4:$J$15,"Year 3",$K$4:$K$15,$A30)</f>
        <v>22</v>
      </c>
    </row>
    <row r="31" customFormat="false" ht="15" hidden="false" customHeight="false" outlineLevel="0" collapsed="false">
      <c r="A31" s="17" t="s">
        <v>44</v>
      </c>
      <c r="B31" s="17" t="s">
        <v>277</v>
      </c>
      <c r="C31" s="32" t="n">
        <v>12</v>
      </c>
      <c r="D31" s="32" t="n">
        <v>13</v>
      </c>
      <c r="E31" s="32" t="n">
        <v>11</v>
      </c>
      <c r="F31" s="10" t="n">
        <f aca="false">C31*SUMIFS($M$4:$M$15,$J$4:$J$15,"Year 1",$K$4:$K$15,$A31)</f>
        <v>17.75</v>
      </c>
      <c r="G31" s="10" t="n">
        <f aca="false">D31*SUMIFS($M$4:$M$15,$J$4:$J$15,"Year 2",$K$4:$K$15,$A31)</f>
        <v>19.7954545454545</v>
      </c>
      <c r="H31" s="10" t="n">
        <f aca="false">E31*SUMIFS($M$4:$M$15,$J$4:$J$15,"Year 3",$K$4:$K$15,$A31)</f>
        <v>20.1666666666667</v>
      </c>
    </row>
    <row r="32" customFormat="false" ht="15" hidden="false" customHeight="false" outlineLevel="0" collapsed="false">
      <c r="A32" s="17" t="s">
        <v>44</v>
      </c>
      <c r="B32" s="17" t="s">
        <v>278</v>
      </c>
      <c r="C32" s="32" t="n">
        <v>10</v>
      </c>
      <c r="D32" s="32" t="n">
        <v>12</v>
      </c>
      <c r="E32" s="32" t="n">
        <v>16</v>
      </c>
      <c r="F32" s="10" t="n">
        <f aca="false">C32*SUMIFS($M$4:$M$15,$J$4:$J$15,"Year 1",$K$4:$K$15,$A32)</f>
        <v>14.7916666666667</v>
      </c>
      <c r="G32" s="10" t="n">
        <f aca="false">D32*SUMIFS($M$4:$M$15,$J$4:$J$15,"Year 2",$K$4:$K$15,$A32)</f>
        <v>18.2727272727273</v>
      </c>
      <c r="H32" s="10" t="n">
        <f aca="false">E32*SUMIFS($M$4:$M$15,$J$4:$J$15,"Year 3",$K$4:$K$15,$A32)</f>
        <v>29.3333333333333</v>
      </c>
    </row>
    <row r="33" customFormat="false" ht="15" hidden="false" customHeight="false" outlineLevel="0" collapsed="false">
      <c r="A33" s="17" t="s">
        <v>44</v>
      </c>
      <c r="B33" s="17" t="s">
        <v>279</v>
      </c>
      <c r="C33" s="32" t="n">
        <v>15</v>
      </c>
      <c r="D33" s="32" t="n">
        <v>12</v>
      </c>
      <c r="E33" s="32" t="n">
        <v>11</v>
      </c>
      <c r="F33" s="10" t="n">
        <f aca="false">C33*SUMIFS($M$4:$M$15,$J$4:$J$15,"Year 1",$K$4:$K$15,$A33)</f>
        <v>22.1875</v>
      </c>
      <c r="G33" s="10" t="n">
        <f aca="false">D33*SUMIFS($M$4:$M$15,$J$4:$J$15,"Year 2",$K$4:$K$15,$A33)</f>
        <v>18.2727272727273</v>
      </c>
      <c r="H33" s="10" t="n">
        <f aca="false">E33*SUMIFS($M$4:$M$15,$J$4:$J$15,"Year 3",$K$4:$K$15,$A33)</f>
        <v>20.1666666666667</v>
      </c>
    </row>
    <row r="34" customFormat="false" ht="15" hidden="false" customHeight="false" outlineLevel="0" collapsed="false">
      <c r="A34" s="17" t="s">
        <v>44</v>
      </c>
      <c r="B34" s="17" t="s">
        <v>280</v>
      </c>
      <c r="C34" s="32" t="n">
        <v>15</v>
      </c>
      <c r="D34" s="32" t="n">
        <v>8</v>
      </c>
      <c r="E34" s="32" t="n">
        <v>12</v>
      </c>
      <c r="F34" s="10" t="n">
        <f aca="false">C34*SUMIFS($M$4:$M$15,$J$4:$J$15,"Year 1",$K$4:$K$15,$A34)</f>
        <v>22.1875</v>
      </c>
      <c r="G34" s="10" t="n">
        <f aca="false">D34*SUMIFS($M$4:$M$15,$J$4:$J$15,"Year 2",$K$4:$K$15,$A34)</f>
        <v>12.1818181818182</v>
      </c>
      <c r="H34" s="10" t="n">
        <f aca="false">E34*SUMIFS($M$4:$M$15,$J$4:$J$15,"Year 3",$K$4:$K$15,$A34)</f>
        <v>22</v>
      </c>
    </row>
    <row r="35" customFormat="false" ht="15" hidden="false" customHeight="false" outlineLevel="0" collapsed="false">
      <c r="A35" s="17" t="s">
        <v>44</v>
      </c>
      <c r="B35" s="17" t="s">
        <v>281</v>
      </c>
      <c r="C35" s="32" t="n">
        <v>14</v>
      </c>
      <c r="D35" s="32" t="n">
        <v>16</v>
      </c>
      <c r="E35" s="32" t="n">
        <v>10</v>
      </c>
      <c r="F35" s="10" t="n">
        <f aca="false">C35*SUMIFS($M$4:$M$15,$J$4:$J$15,"Year 1",$K$4:$K$15,$A35)</f>
        <v>20.7083333333333</v>
      </c>
      <c r="G35" s="10" t="n">
        <f aca="false">D35*SUMIFS($M$4:$M$15,$J$4:$J$15,"Year 2",$K$4:$K$15,$A35)</f>
        <v>24.3636363636364</v>
      </c>
      <c r="H35" s="10" t="n">
        <f aca="false">E35*SUMIFS($M$4:$M$15,$J$4:$J$15,"Year 3",$K$4:$K$15,$A35)</f>
        <v>18.3333333333333</v>
      </c>
    </row>
    <row r="36" customFormat="false" ht="15" hidden="false" customHeight="false" outlineLevel="0" collapsed="false">
      <c r="A36" s="17" t="s">
        <v>44</v>
      </c>
      <c r="B36" s="17" t="s">
        <v>282</v>
      </c>
      <c r="C36" s="32" t="n">
        <v>7</v>
      </c>
      <c r="D36" s="32" t="n">
        <v>7</v>
      </c>
      <c r="E36" s="32" t="n">
        <v>7</v>
      </c>
      <c r="F36" s="10" t="n">
        <f aca="false">C36*SUMIFS($M$4:$M$15,$J$4:$J$15,"Year 1",$K$4:$K$15,$A36)</f>
        <v>10.3541666666667</v>
      </c>
      <c r="G36" s="10" t="n">
        <f aca="false">D36*SUMIFS($M$4:$M$15,$J$4:$J$15,"Year 2",$K$4:$K$15,$A36)</f>
        <v>10.6590909090909</v>
      </c>
      <c r="H36" s="10" t="n">
        <f aca="false">E36*SUMIFS($M$4:$M$15,$J$4:$J$15,"Year 3",$K$4:$K$15,$A36)</f>
        <v>12.8333333333333</v>
      </c>
    </row>
    <row r="37" customFormat="false" ht="15" hidden="false" customHeight="false" outlineLevel="0" collapsed="false">
      <c r="A37" s="17" t="s">
        <v>45</v>
      </c>
      <c r="B37" s="17" t="s">
        <v>283</v>
      </c>
      <c r="C37" s="32" t="n">
        <v>5</v>
      </c>
      <c r="D37" s="32" t="n">
        <v>8</v>
      </c>
      <c r="E37" s="32" t="n">
        <v>3</v>
      </c>
      <c r="F37" s="10" t="n">
        <f aca="false">C37*SUMIFS($M$4:$M$15,$J$4:$J$15,"Year 1",$K$4:$K$15,$A37)</f>
        <v>9</v>
      </c>
      <c r="G37" s="10" t="n">
        <f aca="false">D37*SUMIFS($M$4:$M$15,$J$4:$J$15,"Year 2",$K$4:$K$15,$A37)</f>
        <v>14.4</v>
      </c>
      <c r="H37" s="10" t="n">
        <f aca="false">E37*SUMIFS($M$4:$M$15,$J$4:$J$15,"Year 3",$K$4:$K$15,$A37)</f>
        <v>5.4</v>
      </c>
    </row>
    <row r="38" customFormat="false" ht="15" hidden="false" customHeight="false" outlineLevel="0" collapsed="false">
      <c r="A38" s="17" t="s">
        <v>45</v>
      </c>
      <c r="B38" s="17" t="s">
        <v>284</v>
      </c>
      <c r="C38" s="32" t="n">
        <v>5</v>
      </c>
      <c r="D38" s="32" t="n">
        <v>9</v>
      </c>
      <c r="E38" s="32" t="n">
        <v>5</v>
      </c>
      <c r="F38" s="10" t="n">
        <f aca="false">C38*SUMIFS($M$4:$M$15,$J$4:$J$15,"Year 1",$K$4:$K$15,$A38)</f>
        <v>9</v>
      </c>
      <c r="G38" s="10" t="n">
        <f aca="false">D38*SUMIFS($M$4:$M$15,$J$4:$J$15,"Year 2",$K$4:$K$15,$A38)</f>
        <v>16.2</v>
      </c>
      <c r="H38" s="10" t="n">
        <f aca="false">E38*SUMIFS($M$4:$M$15,$J$4:$J$15,"Year 3",$K$4:$K$15,$A38)</f>
        <v>9</v>
      </c>
    </row>
    <row r="39" customFormat="false" ht="15" hidden="false" customHeight="false" outlineLevel="0" collapsed="false">
      <c r="A39" s="17" t="s">
        <v>45</v>
      </c>
      <c r="B39" s="17" t="s">
        <v>285</v>
      </c>
      <c r="C39" s="32" t="n">
        <v>6</v>
      </c>
      <c r="D39" s="32" t="n">
        <v>9</v>
      </c>
      <c r="E39" s="32" t="n">
        <v>4</v>
      </c>
      <c r="F39" s="10" t="n">
        <f aca="false">C39*SUMIFS($M$4:$M$15,$J$4:$J$15,"Year 1",$K$4:$K$15,$A39)</f>
        <v>10.8</v>
      </c>
      <c r="G39" s="10" t="n">
        <f aca="false">D39*SUMIFS($M$4:$M$15,$J$4:$J$15,"Year 2",$K$4:$K$15,$A39)</f>
        <v>16.2</v>
      </c>
      <c r="H39" s="10" t="n">
        <f aca="false">E39*SUMIFS($M$4:$M$15,$J$4:$J$15,"Year 3",$K$4:$K$15,$A39)</f>
        <v>7.2</v>
      </c>
    </row>
    <row r="40" customFormat="false" ht="15" hidden="false" customHeight="false" outlineLevel="0" collapsed="false">
      <c r="A40" s="17" t="s">
        <v>45</v>
      </c>
      <c r="B40" s="17" t="s">
        <v>286</v>
      </c>
      <c r="C40" s="32" t="n">
        <v>5</v>
      </c>
      <c r="D40" s="32" t="n">
        <v>10</v>
      </c>
      <c r="E40" s="32" t="n">
        <v>5</v>
      </c>
      <c r="F40" s="10" t="n">
        <f aca="false">C40*SUMIFS($M$4:$M$15,$J$4:$J$15,"Year 1",$K$4:$K$15,$A40)</f>
        <v>9</v>
      </c>
      <c r="G40" s="10" t="n">
        <f aca="false">D40*SUMIFS($M$4:$M$15,$J$4:$J$15,"Year 2",$K$4:$K$15,$A40)</f>
        <v>18</v>
      </c>
      <c r="H40" s="10" t="n">
        <f aca="false">E40*SUMIFS($M$4:$M$15,$J$4:$J$15,"Year 3",$K$4:$K$15,$A40)</f>
        <v>9</v>
      </c>
    </row>
    <row r="41" customFormat="false" ht="15" hidden="false" customHeight="false" outlineLevel="0" collapsed="false">
      <c r="A41" s="17" t="s">
        <v>45</v>
      </c>
      <c r="B41" s="17" t="s">
        <v>287</v>
      </c>
      <c r="C41" s="32" t="n">
        <v>6</v>
      </c>
      <c r="D41" s="32" t="n">
        <v>11</v>
      </c>
      <c r="E41" s="32" t="n">
        <v>4</v>
      </c>
      <c r="F41" s="10" t="n">
        <f aca="false">C41*SUMIFS($M$4:$M$15,$J$4:$J$15,"Year 1",$K$4:$K$15,$A41)</f>
        <v>10.8</v>
      </c>
      <c r="G41" s="10" t="n">
        <f aca="false">D41*SUMIFS($M$4:$M$15,$J$4:$J$15,"Year 2",$K$4:$K$15,$A41)</f>
        <v>19.8</v>
      </c>
      <c r="H41" s="10" t="n">
        <f aca="false">E41*SUMIFS($M$4:$M$15,$J$4:$J$15,"Year 3",$K$4:$K$15,$A41)</f>
        <v>7.2</v>
      </c>
    </row>
    <row r="42" customFormat="false" ht="15" hidden="false" customHeight="false" outlineLevel="0" collapsed="false">
      <c r="A42" s="17" t="s">
        <v>45</v>
      </c>
      <c r="B42" s="17" t="s">
        <v>288</v>
      </c>
      <c r="C42" s="32" t="n">
        <v>5</v>
      </c>
      <c r="D42" s="32" t="n">
        <v>10</v>
      </c>
      <c r="E42" s="32" t="n">
        <v>4</v>
      </c>
      <c r="F42" s="10" t="n">
        <f aca="false">C42*SUMIFS($M$4:$M$15,$J$4:$J$15,"Year 1",$K$4:$K$15,$A42)</f>
        <v>9</v>
      </c>
      <c r="G42" s="10" t="n">
        <f aca="false">D42*SUMIFS($M$4:$M$15,$J$4:$J$15,"Year 2",$K$4:$K$15,$A42)</f>
        <v>18</v>
      </c>
      <c r="H42" s="10" t="n">
        <f aca="false">E42*SUMIFS($M$4:$M$15,$J$4:$J$15,"Year 3",$K$4:$K$15,$A42)</f>
        <v>7.2</v>
      </c>
    </row>
    <row r="43" customFormat="false" ht="15" hidden="false" customHeight="false" outlineLevel="0" collapsed="false">
      <c r="A43" s="17" t="s">
        <v>45</v>
      </c>
      <c r="B43" s="17" t="s">
        <v>289</v>
      </c>
      <c r="C43" s="32" t="n">
        <v>6</v>
      </c>
      <c r="D43" s="32" t="n">
        <v>11</v>
      </c>
      <c r="E43" s="32" t="n">
        <v>5</v>
      </c>
      <c r="F43" s="10" t="n">
        <f aca="false">C43*SUMIFS($M$4:$M$15,$J$4:$J$15,"Year 1",$K$4:$K$15,$A43)</f>
        <v>10.8</v>
      </c>
      <c r="G43" s="10" t="n">
        <f aca="false">D43*SUMIFS($M$4:$M$15,$J$4:$J$15,"Year 2",$K$4:$K$15,$A43)</f>
        <v>19.8</v>
      </c>
      <c r="H43" s="10" t="n">
        <f aca="false">E43*SUMIFS($M$4:$M$15,$J$4:$J$15,"Year 3",$K$4:$K$15,$A43)</f>
        <v>9</v>
      </c>
    </row>
    <row r="44" customFormat="false" ht="15" hidden="false" customHeight="false" outlineLevel="0" collapsed="false">
      <c r="A44" s="17" t="s">
        <v>45</v>
      </c>
      <c r="B44" s="17" t="s">
        <v>290</v>
      </c>
      <c r="C44" s="32" t="n">
        <v>8</v>
      </c>
      <c r="D44" s="32" t="n">
        <v>11</v>
      </c>
      <c r="E44" s="32" t="n">
        <v>5</v>
      </c>
      <c r="F44" s="10" t="n">
        <f aca="false">C44*SUMIFS($M$4:$M$15,$J$4:$J$15,"Year 1",$K$4:$K$15,$A44)</f>
        <v>14.4</v>
      </c>
      <c r="G44" s="10" t="n">
        <f aca="false">D44*SUMIFS($M$4:$M$15,$J$4:$J$15,"Year 2",$K$4:$K$15,$A44)</f>
        <v>19.8</v>
      </c>
      <c r="H44" s="10" t="n">
        <f aca="false">E44*SUMIFS($M$4:$M$15,$J$4:$J$15,"Year 3",$K$4:$K$15,$A44)</f>
        <v>9</v>
      </c>
    </row>
    <row r="45" customFormat="false" ht="15" hidden="false" customHeight="false" outlineLevel="0" collapsed="false">
      <c r="B45" s="3" t="s">
        <v>202</v>
      </c>
      <c r="C45" s="47" t="n">
        <f aca="false">SUM(C3:C44)</f>
        <v>486</v>
      </c>
      <c r="D45" s="47" t="n">
        <f aca="false">SUM(D3:D44)</f>
        <v>511</v>
      </c>
      <c r="E45" s="47" t="n">
        <f aca="false">SUM(E3:E44)</f>
        <v>439</v>
      </c>
      <c r="F45" s="47" t="n">
        <f aca="false">SUM(F3:F44)</f>
        <v>774.906346153846</v>
      </c>
      <c r="G45" s="47" t="n">
        <f aca="false">SUM(G3:G44)</f>
        <v>853.333116883117</v>
      </c>
      <c r="H45" s="47" t="n">
        <f aca="false">SUM(H3:H44)</f>
        <v>749.791515151515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34"/>
    <col collapsed="false" customWidth="true" hidden="false" outlineLevel="0" max="7" min="6" style="0" width="11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7" t="s">
        <v>292</v>
      </c>
    </row>
    <row r="3" customFormat="false" ht="30" hidden="false" customHeight="true" outlineLevel="0" collapsed="false">
      <c r="A3" s="8" t="s">
        <v>229</v>
      </c>
      <c r="B3" s="8" t="s">
        <v>31</v>
      </c>
      <c r="C3" s="8" t="s">
        <v>293</v>
      </c>
      <c r="D3" s="8" t="s">
        <v>58</v>
      </c>
      <c r="E3" s="8" t="s">
        <v>294</v>
      </c>
      <c r="F3" s="8" t="s">
        <v>165</v>
      </c>
      <c r="G3" s="8" t="s">
        <v>166</v>
      </c>
      <c r="H3" s="8" t="s">
        <v>295</v>
      </c>
    </row>
    <row r="4" customFormat="false" ht="15" hidden="false" customHeight="false" outlineLevel="0" collapsed="false">
      <c r="A4" s="32" t="s">
        <v>235</v>
      </c>
      <c r="B4" s="32" t="s">
        <v>42</v>
      </c>
      <c r="C4" s="48" t="s">
        <v>296</v>
      </c>
      <c r="D4" s="32" t="s">
        <v>70</v>
      </c>
      <c r="E4" s="32" t="s">
        <v>297</v>
      </c>
      <c r="F4" s="33" t="n">
        <v>0.375</v>
      </c>
      <c r="G4" s="33" t="n">
        <v>0.479166666666667</v>
      </c>
      <c r="H4" s="40" t="n">
        <f aca="false">(G4-F4)*24</f>
        <v>2.5</v>
      </c>
    </row>
    <row r="5" customFormat="false" ht="15" hidden="false" customHeight="false" outlineLevel="0" collapsed="false">
      <c r="A5" s="32" t="s">
        <v>235</v>
      </c>
      <c r="B5" s="32" t="s">
        <v>42</v>
      </c>
      <c r="C5" s="48" t="s">
        <v>296</v>
      </c>
      <c r="D5" s="32" t="s">
        <v>70</v>
      </c>
      <c r="E5" s="32" t="s">
        <v>298</v>
      </c>
      <c r="F5" s="33" t="n">
        <v>0.5</v>
      </c>
      <c r="G5" s="33" t="n">
        <v>0.5625</v>
      </c>
      <c r="H5" s="40" t="n">
        <f aca="false">(G5-F5)*24</f>
        <v>1.5</v>
      </c>
    </row>
    <row r="6" customFormat="false" ht="15" hidden="false" customHeight="false" outlineLevel="0" collapsed="false">
      <c r="A6" s="32" t="s">
        <v>235</v>
      </c>
      <c r="B6" s="32" t="s">
        <v>42</v>
      </c>
      <c r="C6" s="48" t="s">
        <v>296</v>
      </c>
      <c r="D6" s="32" t="s">
        <v>70</v>
      </c>
      <c r="E6" s="32" t="s">
        <v>299</v>
      </c>
      <c r="F6" s="33" t="n">
        <v>0.645833333333333</v>
      </c>
      <c r="G6" s="33" t="n">
        <v>0.708333333333333</v>
      </c>
      <c r="H6" s="40" t="n">
        <f aca="false">(G6-F6)*24</f>
        <v>1.5</v>
      </c>
    </row>
    <row r="7" customFormat="false" ht="15" hidden="false" customHeight="false" outlineLevel="0" collapsed="false">
      <c r="A7" s="32" t="s">
        <v>235</v>
      </c>
      <c r="B7" s="32" t="s">
        <v>42</v>
      </c>
      <c r="C7" s="48" t="s">
        <v>296</v>
      </c>
      <c r="D7" s="32" t="s">
        <v>94</v>
      </c>
      <c r="E7" s="32" t="s">
        <v>300</v>
      </c>
      <c r="F7" s="33" t="n">
        <v>0.5</v>
      </c>
      <c r="G7" s="33" t="n">
        <v>0.583333333333333</v>
      </c>
      <c r="H7" s="40" t="n">
        <f aca="false">(G7-F7)*24</f>
        <v>2</v>
      </c>
    </row>
    <row r="8" customFormat="false" ht="15" hidden="false" customHeight="false" outlineLevel="0" collapsed="false">
      <c r="A8" s="32" t="s">
        <v>235</v>
      </c>
      <c r="B8" s="32" t="s">
        <v>42</v>
      </c>
      <c r="C8" s="48" t="s">
        <v>296</v>
      </c>
      <c r="D8" s="32" t="s">
        <v>94</v>
      </c>
      <c r="E8" s="32" t="s">
        <v>301</v>
      </c>
      <c r="F8" s="33" t="n">
        <v>0.625</v>
      </c>
      <c r="G8" s="33" t="n">
        <v>0.6875</v>
      </c>
      <c r="H8" s="40" t="n">
        <f aca="false">(G8-F8)*24</f>
        <v>1.5</v>
      </c>
    </row>
    <row r="9" customFormat="false" ht="15" hidden="false" customHeight="false" outlineLevel="0" collapsed="false">
      <c r="A9" s="32" t="s">
        <v>235</v>
      </c>
      <c r="B9" s="32" t="s">
        <v>42</v>
      </c>
      <c r="C9" s="48" t="s">
        <v>296</v>
      </c>
      <c r="D9" s="32" t="s">
        <v>94</v>
      </c>
      <c r="E9" s="32" t="s">
        <v>302</v>
      </c>
      <c r="F9" s="33" t="n">
        <v>0.708333333333333</v>
      </c>
      <c r="G9" s="33" t="n">
        <v>0.75</v>
      </c>
      <c r="H9" s="40" t="n">
        <f aca="false">(G9-F9)*24</f>
        <v>1</v>
      </c>
    </row>
    <row r="10" customFormat="false" ht="15" hidden="false" customHeight="false" outlineLevel="0" collapsed="false">
      <c r="A10" s="32" t="s">
        <v>235</v>
      </c>
      <c r="B10" s="32" t="s">
        <v>42</v>
      </c>
      <c r="C10" s="48" t="s">
        <v>296</v>
      </c>
      <c r="D10" s="32" t="s">
        <v>105</v>
      </c>
      <c r="E10" s="32" t="s">
        <v>297</v>
      </c>
      <c r="F10" s="33" t="n">
        <v>0.375</v>
      </c>
      <c r="G10" s="33" t="n">
        <v>0.479166666666667</v>
      </c>
      <c r="H10" s="40" t="n">
        <f aca="false">(G10-F10)*24</f>
        <v>2.5</v>
      </c>
    </row>
    <row r="11" customFormat="false" ht="15" hidden="false" customHeight="false" outlineLevel="0" collapsed="false">
      <c r="A11" s="32" t="s">
        <v>235</v>
      </c>
      <c r="B11" s="32" t="s">
        <v>42</v>
      </c>
      <c r="C11" s="48" t="s">
        <v>296</v>
      </c>
      <c r="D11" s="32" t="s">
        <v>105</v>
      </c>
      <c r="E11" s="32" t="s">
        <v>303</v>
      </c>
      <c r="F11" s="33" t="n">
        <v>0.5</v>
      </c>
      <c r="G11" s="33" t="n">
        <v>0.5625</v>
      </c>
      <c r="H11" s="40" t="n">
        <f aca="false">(G11-F11)*24</f>
        <v>1.5</v>
      </c>
    </row>
    <row r="12" customFormat="false" ht="15" hidden="false" customHeight="false" outlineLevel="0" collapsed="false">
      <c r="A12" s="32" t="s">
        <v>235</v>
      </c>
      <c r="B12" s="32" t="s">
        <v>42</v>
      </c>
      <c r="C12" s="48" t="s">
        <v>296</v>
      </c>
      <c r="D12" s="32" t="s">
        <v>105</v>
      </c>
      <c r="E12" s="32" t="s">
        <v>304</v>
      </c>
      <c r="F12" s="33" t="n">
        <v>0.583333333333333</v>
      </c>
      <c r="G12" s="33" t="n">
        <v>0.645833333333333</v>
      </c>
      <c r="H12" s="40" t="n">
        <f aca="false">(G12-F12)*24</f>
        <v>1.5</v>
      </c>
    </row>
    <row r="13" customFormat="false" ht="15" hidden="false" customHeight="false" outlineLevel="0" collapsed="false">
      <c r="A13" s="32" t="s">
        <v>235</v>
      </c>
      <c r="B13" s="32" t="s">
        <v>42</v>
      </c>
      <c r="C13" s="48" t="s">
        <v>296</v>
      </c>
      <c r="D13" s="32" t="s">
        <v>105</v>
      </c>
      <c r="E13" s="32" t="s">
        <v>305</v>
      </c>
      <c r="F13" s="33" t="n">
        <v>0.645833333333333</v>
      </c>
      <c r="G13" s="33" t="n">
        <v>0.75</v>
      </c>
      <c r="H13" s="40" t="n">
        <f aca="false">(G13-F13)*24</f>
        <v>2.5</v>
      </c>
    </row>
    <row r="14" customFormat="false" ht="15" hidden="false" customHeight="false" outlineLevel="0" collapsed="false">
      <c r="A14" s="32" t="s">
        <v>235</v>
      </c>
      <c r="B14" s="32" t="s">
        <v>42</v>
      </c>
      <c r="C14" s="48" t="s">
        <v>296</v>
      </c>
      <c r="D14" s="32" t="s">
        <v>117</v>
      </c>
      <c r="E14" s="32" t="s">
        <v>306</v>
      </c>
      <c r="F14" s="33" t="n">
        <v>0.5</v>
      </c>
      <c r="G14" s="33" t="n">
        <v>0.5625</v>
      </c>
      <c r="H14" s="40" t="n">
        <f aca="false">(G14-F14)*24</f>
        <v>1.5</v>
      </c>
    </row>
    <row r="15" customFormat="false" ht="15" hidden="false" customHeight="false" outlineLevel="0" collapsed="false">
      <c r="A15" s="32" t="s">
        <v>235</v>
      </c>
      <c r="B15" s="32" t="s">
        <v>42</v>
      </c>
      <c r="C15" s="48" t="s">
        <v>296</v>
      </c>
      <c r="D15" s="32" t="s">
        <v>117</v>
      </c>
      <c r="E15" s="32" t="s">
        <v>307</v>
      </c>
      <c r="F15" s="33" t="n">
        <v>0.625</v>
      </c>
      <c r="G15" s="33" t="n">
        <v>0.6875</v>
      </c>
      <c r="H15" s="40" t="n">
        <f aca="false">(G15-F15)*24</f>
        <v>1.5</v>
      </c>
    </row>
    <row r="16" customFormat="false" ht="15" hidden="false" customHeight="false" outlineLevel="0" collapsed="false">
      <c r="A16" s="32" t="s">
        <v>235</v>
      </c>
      <c r="B16" s="32" t="s">
        <v>42</v>
      </c>
      <c r="C16" s="48" t="s">
        <v>296</v>
      </c>
      <c r="D16" s="32" t="s">
        <v>118</v>
      </c>
      <c r="E16" s="32" t="s">
        <v>308</v>
      </c>
      <c r="F16" s="33" t="n">
        <v>0.375</v>
      </c>
      <c r="G16" s="33" t="n">
        <v>0.458333333333333</v>
      </c>
      <c r="H16" s="40" t="n">
        <f aca="false">(G16-F16)*24</f>
        <v>2</v>
      </c>
    </row>
    <row r="17" customFormat="false" ht="15" hidden="false" customHeight="false" outlineLevel="0" collapsed="false">
      <c r="A17" s="32" t="s">
        <v>235</v>
      </c>
      <c r="B17" s="32" t="s">
        <v>42</v>
      </c>
      <c r="C17" s="48" t="s">
        <v>296</v>
      </c>
      <c r="D17" s="32" t="s">
        <v>118</v>
      </c>
      <c r="E17" s="32" t="s">
        <v>309</v>
      </c>
      <c r="F17" s="33" t="n">
        <v>0.5</v>
      </c>
      <c r="G17" s="33" t="n">
        <v>0.541666666666667</v>
      </c>
      <c r="H17" s="40" t="n">
        <f aca="false">(G17-F17)*24</f>
        <v>1</v>
      </c>
    </row>
    <row r="18" customFormat="false" ht="15" hidden="false" customHeight="false" outlineLevel="0" collapsed="false">
      <c r="A18" s="32" t="s">
        <v>235</v>
      </c>
      <c r="B18" s="32" t="s">
        <v>42</v>
      </c>
      <c r="C18" s="48" t="s">
        <v>296</v>
      </c>
      <c r="D18" s="32" t="s">
        <v>118</v>
      </c>
      <c r="E18" s="32" t="s">
        <v>310</v>
      </c>
      <c r="F18" s="33" t="n">
        <v>0.625</v>
      </c>
      <c r="G18" s="33" t="n">
        <v>0.708333333333333</v>
      </c>
      <c r="H18" s="40" t="n">
        <f aca="false">(G18-F18)*24</f>
        <v>2</v>
      </c>
    </row>
    <row r="19" customFormat="false" ht="15" hidden="false" customHeight="false" outlineLevel="0" collapsed="false">
      <c r="A19" s="32" t="s">
        <v>235</v>
      </c>
      <c r="B19" s="32" t="s">
        <v>43</v>
      </c>
      <c r="C19" s="48" t="s">
        <v>296</v>
      </c>
      <c r="D19" s="32" t="s">
        <v>70</v>
      </c>
      <c r="E19" s="32" t="s">
        <v>311</v>
      </c>
      <c r="F19" s="33" t="n">
        <v>0.5625</v>
      </c>
      <c r="G19" s="33" t="n">
        <v>0.618055555555556</v>
      </c>
      <c r="H19" s="40" t="n">
        <f aca="false">(G19-F19)*24</f>
        <v>1.33333333333333</v>
      </c>
    </row>
    <row r="20" customFormat="false" ht="15" hidden="false" customHeight="false" outlineLevel="0" collapsed="false">
      <c r="A20" s="32" t="s">
        <v>235</v>
      </c>
      <c r="B20" s="32" t="s">
        <v>43</v>
      </c>
      <c r="C20" s="48" t="s">
        <v>296</v>
      </c>
      <c r="D20" s="32" t="s">
        <v>70</v>
      </c>
      <c r="E20" s="32" t="s">
        <v>299</v>
      </c>
      <c r="F20" s="33" t="n">
        <v>0.645833333333333</v>
      </c>
      <c r="G20" s="33" t="n">
        <v>0.708333333333333</v>
      </c>
      <c r="H20" s="40" t="n">
        <f aca="false">(G20-F20)*24</f>
        <v>1.5</v>
      </c>
    </row>
    <row r="21" customFormat="false" ht="15" hidden="false" customHeight="false" outlineLevel="0" collapsed="false">
      <c r="A21" s="32" t="s">
        <v>235</v>
      </c>
      <c r="B21" s="32" t="s">
        <v>43</v>
      </c>
      <c r="C21" s="48" t="s">
        <v>296</v>
      </c>
      <c r="D21" s="32" t="s">
        <v>94</v>
      </c>
      <c r="E21" s="32" t="s">
        <v>312</v>
      </c>
      <c r="F21" s="33" t="n">
        <v>0.5</v>
      </c>
      <c r="G21" s="33" t="n">
        <v>0.583333333333333</v>
      </c>
      <c r="H21" s="40" t="n">
        <f aca="false">(G21-F21)*24</f>
        <v>2</v>
      </c>
    </row>
    <row r="22" customFormat="false" ht="15" hidden="false" customHeight="false" outlineLevel="0" collapsed="false">
      <c r="A22" s="32" t="s">
        <v>235</v>
      </c>
      <c r="B22" s="32" t="s">
        <v>43</v>
      </c>
      <c r="C22" s="48" t="s">
        <v>296</v>
      </c>
      <c r="D22" s="32" t="s">
        <v>94</v>
      </c>
      <c r="E22" s="32" t="s">
        <v>301</v>
      </c>
      <c r="F22" s="33" t="n">
        <v>0.625</v>
      </c>
      <c r="G22" s="33" t="n">
        <v>0.6875</v>
      </c>
      <c r="H22" s="40" t="n">
        <f aca="false">(G22-F22)*24</f>
        <v>1.5</v>
      </c>
    </row>
    <row r="23" customFormat="false" ht="15" hidden="false" customHeight="false" outlineLevel="0" collapsed="false">
      <c r="A23" s="32" t="s">
        <v>235</v>
      </c>
      <c r="B23" s="32" t="s">
        <v>43</v>
      </c>
      <c r="C23" s="48" t="s">
        <v>296</v>
      </c>
      <c r="D23" s="32" t="s">
        <v>94</v>
      </c>
      <c r="E23" s="32" t="s">
        <v>302</v>
      </c>
      <c r="F23" s="33" t="n">
        <v>0.708333333333333</v>
      </c>
      <c r="G23" s="33" t="n">
        <v>0.75</v>
      </c>
      <c r="H23" s="40" t="n">
        <f aca="false">(G23-F23)*24</f>
        <v>1</v>
      </c>
    </row>
    <row r="24" customFormat="false" ht="15" hidden="false" customHeight="false" outlineLevel="0" collapsed="false">
      <c r="A24" s="32" t="s">
        <v>235</v>
      </c>
      <c r="B24" s="32" t="s">
        <v>43</v>
      </c>
      <c r="C24" s="48" t="s">
        <v>296</v>
      </c>
      <c r="D24" s="32" t="s">
        <v>105</v>
      </c>
      <c r="E24" s="32" t="s">
        <v>300</v>
      </c>
      <c r="F24" s="33" t="n">
        <v>0.416666666666667</v>
      </c>
      <c r="G24" s="33" t="n">
        <v>0.5</v>
      </c>
      <c r="H24" s="40" t="n">
        <f aca="false">(G24-F24)*24</f>
        <v>2</v>
      </c>
    </row>
    <row r="25" customFormat="false" ht="15" hidden="false" customHeight="false" outlineLevel="0" collapsed="false">
      <c r="A25" s="32" t="s">
        <v>235</v>
      </c>
      <c r="B25" s="32" t="s">
        <v>43</v>
      </c>
      <c r="C25" s="48" t="s">
        <v>296</v>
      </c>
      <c r="D25" s="32" t="s">
        <v>105</v>
      </c>
      <c r="E25" s="32" t="s">
        <v>311</v>
      </c>
      <c r="F25" s="33" t="n">
        <v>0.5625</v>
      </c>
      <c r="G25" s="33" t="n">
        <v>0.618055555555556</v>
      </c>
      <c r="H25" s="40" t="n">
        <f aca="false">(G25-F25)*24</f>
        <v>1.33333333333333</v>
      </c>
    </row>
    <row r="26" customFormat="false" ht="15" hidden="false" customHeight="false" outlineLevel="0" collapsed="false">
      <c r="A26" s="32" t="s">
        <v>235</v>
      </c>
      <c r="B26" s="32" t="s">
        <v>43</v>
      </c>
      <c r="C26" s="48" t="s">
        <v>296</v>
      </c>
      <c r="D26" s="32" t="s">
        <v>117</v>
      </c>
      <c r="E26" s="32" t="s">
        <v>313</v>
      </c>
      <c r="F26" s="33" t="n">
        <v>0.395833333333333</v>
      </c>
      <c r="G26" s="33" t="n">
        <v>0.4375</v>
      </c>
      <c r="H26" s="40" t="n">
        <f aca="false">(G26-F26)*24</f>
        <v>1</v>
      </c>
    </row>
    <row r="27" customFormat="false" ht="15" hidden="false" customHeight="false" outlineLevel="0" collapsed="false">
      <c r="A27" s="32" t="s">
        <v>235</v>
      </c>
      <c r="B27" s="32" t="s">
        <v>43</v>
      </c>
      <c r="C27" s="48" t="s">
        <v>296</v>
      </c>
      <c r="D27" s="32" t="s">
        <v>117</v>
      </c>
      <c r="E27" s="32" t="s">
        <v>313</v>
      </c>
      <c r="F27" s="33" t="n">
        <v>0.4375</v>
      </c>
      <c r="G27" s="33" t="n">
        <v>0.479166666666667</v>
      </c>
      <c r="H27" s="40" t="n">
        <f aca="false">(G27-F27)*24</f>
        <v>1</v>
      </c>
    </row>
    <row r="28" customFormat="false" ht="15" hidden="false" customHeight="false" outlineLevel="0" collapsed="false">
      <c r="A28" s="32" t="s">
        <v>235</v>
      </c>
      <c r="B28" s="32" t="s">
        <v>43</v>
      </c>
      <c r="C28" s="48" t="s">
        <v>296</v>
      </c>
      <c r="D28" s="32" t="s">
        <v>117</v>
      </c>
      <c r="E28" s="32" t="s">
        <v>306</v>
      </c>
      <c r="F28" s="33" t="n">
        <v>0.5</v>
      </c>
      <c r="G28" s="33" t="n">
        <v>0.5625</v>
      </c>
      <c r="H28" s="40" t="n">
        <f aca="false">(G28-F28)*24</f>
        <v>1.5</v>
      </c>
    </row>
    <row r="29" customFormat="false" ht="15" hidden="false" customHeight="false" outlineLevel="0" collapsed="false">
      <c r="A29" s="32" t="s">
        <v>235</v>
      </c>
      <c r="B29" s="32" t="s">
        <v>43</v>
      </c>
      <c r="C29" s="48" t="s">
        <v>296</v>
      </c>
      <c r="D29" s="32" t="s">
        <v>117</v>
      </c>
      <c r="E29" s="32" t="s">
        <v>307</v>
      </c>
      <c r="F29" s="33" t="n">
        <v>0.625</v>
      </c>
      <c r="G29" s="33" t="n">
        <v>0.6875</v>
      </c>
      <c r="H29" s="40" t="n">
        <f aca="false">(G29-F29)*24</f>
        <v>1.5</v>
      </c>
    </row>
    <row r="30" customFormat="false" ht="15" hidden="false" customHeight="false" outlineLevel="0" collapsed="false">
      <c r="A30" s="32" t="s">
        <v>235</v>
      </c>
      <c r="B30" s="32" t="s">
        <v>43</v>
      </c>
      <c r="C30" s="48" t="s">
        <v>296</v>
      </c>
      <c r="D30" s="32" t="s">
        <v>118</v>
      </c>
      <c r="E30" s="32" t="s">
        <v>309</v>
      </c>
      <c r="F30" s="33" t="n">
        <v>0.479166666666667</v>
      </c>
      <c r="G30" s="33" t="n">
        <v>0.541666666666667</v>
      </c>
      <c r="H30" s="40" t="n">
        <f aca="false">(G30-F30)*24</f>
        <v>1.5</v>
      </c>
    </row>
    <row r="31" customFormat="false" ht="15" hidden="false" customHeight="false" outlineLevel="0" collapsed="false">
      <c r="A31" s="32" t="s">
        <v>235</v>
      </c>
      <c r="B31" s="32" t="s">
        <v>43</v>
      </c>
      <c r="C31" s="48" t="s">
        <v>296</v>
      </c>
      <c r="D31" s="32" t="s">
        <v>118</v>
      </c>
      <c r="E31" s="32" t="s">
        <v>310</v>
      </c>
      <c r="F31" s="33" t="n">
        <v>0.625</v>
      </c>
      <c r="G31" s="33" t="n">
        <v>0.708333333333333</v>
      </c>
      <c r="H31" s="40" t="n">
        <f aca="false">(G31-F31)*24</f>
        <v>2</v>
      </c>
    </row>
    <row r="32" customFormat="false" ht="15" hidden="false" customHeight="false" outlineLevel="0" collapsed="false">
      <c r="A32" s="32" t="s">
        <v>235</v>
      </c>
      <c r="B32" s="32" t="s">
        <v>44</v>
      </c>
      <c r="C32" s="48" t="s">
        <v>296</v>
      </c>
      <c r="D32" s="32" t="s">
        <v>70</v>
      </c>
      <c r="E32" s="32" t="s">
        <v>300</v>
      </c>
      <c r="F32" s="33" t="n">
        <v>0.583333333333333</v>
      </c>
      <c r="G32" s="33" t="n">
        <v>0.625</v>
      </c>
      <c r="H32" s="40" t="n">
        <f aca="false">(G32-F32)*24</f>
        <v>1</v>
      </c>
    </row>
    <row r="33" customFormat="false" ht="15" hidden="false" customHeight="false" outlineLevel="0" collapsed="false">
      <c r="A33" s="32" t="s">
        <v>235</v>
      </c>
      <c r="B33" s="32" t="s">
        <v>44</v>
      </c>
      <c r="C33" s="48" t="s">
        <v>296</v>
      </c>
      <c r="D33" s="32" t="s">
        <v>70</v>
      </c>
      <c r="E33" s="32" t="s">
        <v>299</v>
      </c>
      <c r="F33" s="33" t="n">
        <v>0.645833333333333</v>
      </c>
      <c r="G33" s="33" t="n">
        <v>0.708333333333333</v>
      </c>
      <c r="H33" s="40" t="n">
        <f aca="false">(G33-F33)*24</f>
        <v>1.5</v>
      </c>
    </row>
    <row r="34" customFormat="false" ht="15" hidden="false" customHeight="false" outlineLevel="0" collapsed="false">
      <c r="A34" s="32" t="s">
        <v>235</v>
      </c>
      <c r="B34" s="32" t="s">
        <v>44</v>
      </c>
      <c r="C34" s="48" t="s">
        <v>296</v>
      </c>
      <c r="D34" s="32" t="s">
        <v>94</v>
      </c>
      <c r="E34" s="32" t="s">
        <v>312</v>
      </c>
      <c r="F34" s="33" t="n">
        <v>0.5</v>
      </c>
      <c r="G34" s="33" t="n">
        <v>0.583333333333333</v>
      </c>
      <c r="H34" s="40" t="n">
        <f aca="false">(G34-F34)*24</f>
        <v>2</v>
      </c>
    </row>
    <row r="35" customFormat="false" ht="15" hidden="false" customHeight="false" outlineLevel="0" collapsed="false">
      <c r="A35" s="32" t="s">
        <v>235</v>
      </c>
      <c r="B35" s="32" t="s">
        <v>44</v>
      </c>
      <c r="C35" s="48" t="s">
        <v>296</v>
      </c>
      <c r="D35" s="32" t="s">
        <v>94</v>
      </c>
      <c r="E35" s="32" t="s">
        <v>301</v>
      </c>
      <c r="F35" s="33" t="n">
        <v>0.625</v>
      </c>
      <c r="G35" s="33" t="n">
        <v>0.6875</v>
      </c>
      <c r="H35" s="40" t="n">
        <f aca="false">(G35-F35)*24</f>
        <v>1.5</v>
      </c>
    </row>
    <row r="36" customFormat="false" ht="15" hidden="false" customHeight="false" outlineLevel="0" collapsed="false">
      <c r="A36" s="32" t="s">
        <v>235</v>
      </c>
      <c r="B36" s="32" t="s">
        <v>44</v>
      </c>
      <c r="C36" s="48" t="s">
        <v>296</v>
      </c>
      <c r="D36" s="32" t="s">
        <v>94</v>
      </c>
      <c r="E36" s="32" t="s">
        <v>302</v>
      </c>
      <c r="F36" s="33" t="n">
        <v>0.708333333333333</v>
      </c>
      <c r="G36" s="33" t="n">
        <v>0.75</v>
      </c>
      <c r="H36" s="40" t="n">
        <f aca="false">(G36-F36)*24</f>
        <v>1</v>
      </c>
    </row>
    <row r="37" customFormat="false" ht="15" hidden="false" customHeight="false" outlineLevel="0" collapsed="false">
      <c r="A37" s="32" t="s">
        <v>235</v>
      </c>
      <c r="B37" s="32" t="s">
        <v>44</v>
      </c>
      <c r="C37" s="48" t="s">
        <v>296</v>
      </c>
      <c r="D37" s="32" t="s">
        <v>94</v>
      </c>
      <c r="E37" s="32" t="s">
        <v>314</v>
      </c>
      <c r="F37" s="33" t="n">
        <v>0.75</v>
      </c>
      <c r="G37" s="33" t="n">
        <v>0.833333333333333</v>
      </c>
      <c r="H37" s="40" t="n">
        <f aca="false">(G37-F37)*24</f>
        <v>2</v>
      </c>
    </row>
    <row r="38" customFormat="false" ht="15" hidden="false" customHeight="false" outlineLevel="0" collapsed="false">
      <c r="A38" s="32" t="s">
        <v>235</v>
      </c>
      <c r="B38" s="32" t="s">
        <v>44</v>
      </c>
      <c r="C38" s="48" t="s">
        <v>296</v>
      </c>
      <c r="D38" s="32" t="s">
        <v>105</v>
      </c>
      <c r="E38" s="32" t="s">
        <v>303</v>
      </c>
      <c r="F38" s="33" t="n">
        <v>0.5</v>
      </c>
      <c r="G38" s="33" t="n">
        <v>0.552083333333333</v>
      </c>
      <c r="H38" s="40" t="n">
        <f aca="false">(G38-F38)*24</f>
        <v>1.25</v>
      </c>
    </row>
    <row r="39" customFormat="false" ht="15" hidden="false" customHeight="false" outlineLevel="0" collapsed="false">
      <c r="A39" s="32" t="s">
        <v>235</v>
      </c>
      <c r="B39" s="32" t="s">
        <v>44</v>
      </c>
      <c r="C39" s="48" t="s">
        <v>296</v>
      </c>
      <c r="D39" s="32" t="s">
        <v>117</v>
      </c>
      <c r="E39" s="32" t="s">
        <v>306</v>
      </c>
      <c r="F39" s="33" t="n">
        <v>0.5</v>
      </c>
      <c r="G39" s="33" t="n">
        <v>0.5625</v>
      </c>
      <c r="H39" s="40" t="n">
        <f aca="false">(G39-F39)*24</f>
        <v>1.5</v>
      </c>
    </row>
    <row r="40" customFormat="false" ht="15" hidden="false" customHeight="false" outlineLevel="0" collapsed="false">
      <c r="A40" s="32" t="s">
        <v>235</v>
      </c>
      <c r="B40" s="32" t="s">
        <v>44</v>
      </c>
      <c r="C40" s="48" t="s">
        <v>296</v>
      </c>
      <c r="D40" s="32" t="s">
        <v>117</v>
      </c>
      <c r="E40" s="32" t="s">
        <v>307</v>
      </c>
      <c r="F40" s="33" t="n">
        <v>0.625</v>
      </c>
      <c r="G40" s="33" t="n">
        <v>0.6875</v>
      </c>
      <c r="H40" s="40" t="n">
        <f aca="false">(G40-F40)*24</f>
        <v>1.5</v>
      </c>
    </row>
    <row r="41" customFormat="false" ht="15" hidden="false" customHeight="false" outlineLevel="0" collapsed="false">
      <c r="A41" s="32" t="s">
        <v>235</v>
      </c>
      <c r="B41" s="32" t="s">
        <v>44</v>
      </c>
      <c r="C41" s="48" t="s">
        <v>296</v>
      </c>
      <c r="D41" s="32" t="s">
        <v>117</v>
      </c>
      <c r="E41" s="32" t="s">
        <v>315</v>
      </c>
      <c r="F41" s="33" t="n">
        <v>0.666666666666667</v>
      </c>
      <c r="G41" s="33" t="n">
        <v>0.708333333333333</v>
      </c>
      <c r="H41" s="40" t="n">
        <f aca="false">(G41-F41)*24</f>
        <v>1</v>
      </c>
    </row>
    <row r="42" customFormat="false" ht="15" hidden="false" customHeight="false" outlineLevel="0" collapsed="false">
      <c r="A42" s="32" t="s">
        <v>235</v>
      </c>
      <c r="B42" s="32" t="s">
        <v>44</v>
      </c>
      <c r="C42" s="48" t="s">
        <v>296</v>
      </c>
      <c r="D42" s="32" t="s">
        <v>118</v>
      </c>
      <c r="E42" s="32" t="s">
        <v>309</v>
      </c>
      <c r="F42" s="33" t="n">
        <v>0.479166666666667</v>
      </c>
      <c r="G42" s="33" t="n">
        <v>0.541666666666667</v>
      </c>
      <c r="H42" s="40" t="n">
        <f aca="false">(G42-F42)*24</f>
        <v>1.5</v>
      </c>
    </row>
    <row r="43" customFormat="false" ht="15" hidden="false" customHeight="false" outlineLevel="0" collapsed="false">
      <c r="A43" s="32" t="s">
        <v>235</v>
      </c>
      <c r="B43" s="32" t="s">
        <v>44</v>
      </c>
      <c r="C43" s="48" t="s">
        <v>296</v>
      </c>
      <c r="D43" s="32" t="s">
        <v>118</v>
      </c>
      <c r="E43" s="32" t="s">
        <v>310</v>
      </c>
      <c r="F43" s="33" t="n">
        <v>0.625</v>
      </c>
      <c r="G43" s="33" t="n">
        <v>0.708333333333333</v>
      </c>
      <c r="H43" s="40" t="n">
        <f aca="false">(G43-F43)*24</f>
        <v>2</v>
      </c>
    </row>
    <row r="44" customFormat="false" ht="15" hidden="false" customHeight="false" outlineLevel="0" collapsed="false">
      <c r="A44" s="32" t="s">
        <v>235</v>
      </c>
      <c r="B44" s="32" t="s">
        <v>45</v>
      </c>
      <c r="C44" s="48" t="s">
        <v>296</v>
      </c>
      <c r="D44" s="32" t="s">
        <v>70</v>
      </c>
      <c r="E44" s="32" t="s">
        <v>316</v>
      </c>
      <c r="F44" s="33" t="n">
        <v>0.541666666666667</v>
      </c>
      <c r="G44" s="33" t="n">
        <v>0.604166666666667</v>
      </c>
      <c r="H44" s="40" t="n">
        <f aca="false">(G44-F44)*24</f>
        <v>1.5</v>
      </c>
    </row>
    <row r="45" customFormat="false" ht="15" hidden="false" customHeight="false" outlineLevel="0" collapsed="false">
      <c r="A45" s="32" t="s">
        <v>235</v>
      </c>
      <c r="B45" s="32" t="s">
        <v>45</v>
      </c>
      <c r="C45" s="48" t="s">
        <v>296</v>
      </c>
      <c r="D45" s="32" t="s">
        <v>94</v>
      </c>
      <c r="E45" s="32" t="s">
        <v>312</v>
      </c>
      <c r="F45" s="33" t="n">
        <v>0.5</v>
      </c>
      <c r="G45" s="33" t="n">
        <v>0.583333333333333</v>
      </c>
      <c r="H45" s="40" t="n">
        <f aca="false">(G45-F45)*24</f>
        <v>2</v>
      </c>
    </row>
    <row r="46" customFormat="false" ht="15" hidden="false" customHeight="false" outlineLevel="0" collapsed="false">
      <c r="A46" s="32" t="s">
        <v>235</v>
      </c>
      <c r="B46" s="32" t="s">
        <v>45</v>
      </c>
      <c r="C46" s="48" t="s">
        <v>296</v>
      </c>
      <c r="D46" s="32" t="s">
        <v>105</v>
      </c>
      <c r="E46" s="32" t="s">
        <v>304</v>
      </c>
      <c r="F46" s="33" t="n">
        <v>0.458333333333333</v>
      </c>
      <c r="G46" s="33" t="n">
        <v>0.583333333333333</v>
      </c>
      <c r="H46" s="40" t="n">
        <f aca="false">(G46-F46)*24</f>
        <v>3</v>
      </c>
    </row>
    <row r="47" customFormat="false" ht="15" hidden="false" customHeight="false" outlineLevel="0" collapsed="false">
      <c r="A47" s="32" t="s">
        <v>235</v>
      </c>
      <c r="B47" s="32" t="s">
        <v>45</v>
      </c>
      <c r="C47" s="48" t="s">
        <v>296</v>
      </c>
      <c r="D47" s="32" t="s">
        <v>117</v>
      </c>
      <c r="E47" s="32" t="s">
        <v>306</v>
      </c>
      <c r="F47" s="33" t="n">
        <v>0.5</v>
      </c>
      <c r="G47" s="33" t="n">
        <v>0.5625</v>
      </c>
      <c r="H47" s="40" t="n">
        <f aca="false">(G47-F47)*24</f>
        <v>1.5</v>
      </c>
    </row>
    <row r="48" customFormat="false" ht="15" hidden="false" customHeight="false" outlineLevel="0" collapsed="false">
      <c r="A48" s="32" t="s">
        <v>235</v>
      </c>
      <c r="B48" s="32" t="s">
        <v>45</v>
      </c>
      <c r="C48" s="48" t="s">
        <v>296</v>
      </c>
      <c r="D48" s="32" t="s">
        <v>117</v>
      </c>
      <c r="E48" s="32" t="s">
        <v>317</v>
      </c>
      <c r="F48" s="33" t="n">
        <v>0.666666666666667</v>
      </c>
      <c r="G48" s="33" t="n">
        <v>0.708333333333333</v>
      </c>
      <c r="H48" s="40" t="n">
        <f aca="false">(G48-F48)*24</f>
        <v>1</v>
      </c>
    </row>
    <row r="49" customFormat="false" ht="15" hidden="false" customHeight="false" outlineLevel="0" collapsed="false">
      <c r="A49" s="32" t="s">
        <v>236</v>
      </c>
      <c r="B49" s="32" t="s">
        <v>42</v>
      </c>
      <c r="C49" s="48" t="s">
        <v>296</v>
      </c>
      <c r="D49" s="32" t="s">
        <v>70</v>
      </c>
      <c r="E49" s="32" t="s">
        <v>318</v>
      </c>
      <c r="F49" s="33" t="n">
        <v>0.354166666666667</v>
      </c>
      <c r="G49" s="33" t="n">
        <v>0.4375</v>
      </c>
      <c r="H49" s="40" t="n">
        <f aca="false">(G49-F49)*24</f>
        <v>2</v>
      </c>
    </row>
    <row r="50" customFormat="false" ht="15" hidden="false" customHeight="false" outlineLevel="0" collapsed="false">
      <c r="A50" s="32" t="s">
        <v>236</v>
      </c>
      <c r="B50" s="32" t="s">
        <v>42</v>
      </c>
      <c r="C50" s="48" t="s">
        <v>296</v>
      </c>
      <c r="D50" s="32" t="s">
        <v>70</v>
      </c>
      <c r="E50" s="32" t="s">
        <v>308</v>
      </c>
      <c r="F50" s="33" t="n">
        <v>0.5</v>
      </c>
      <c r="G50" s="33" t="n">
        <v>0.5625</v>
      </c>
      <c r="H50" s="40" t="n">
        <f aca="false">(G50-F50)*24</f>
        <v>1.5</v>
      </c>
    </row>
    <row r="51" customFormat="false" ht="15" hidden="false" customHeight="false" outlineLevel="0" collapsed="false">
      <c r="A51" s="32" t="s">
        <v>236</v>
      </c>
      <c r="B51" s="32" t="s">
        <v>42</v>
      </c>
      <c r="C51" s="48" t="s">
        <v>296</v>
      </c>
      <c r="D51" s="32" t="s">
        <v>70</v>
      </c>
      <c r="E51" s="32" t="s">
        <v>299</v>
      </c>
      <c r="F51" s="33" t="n">
        <v>0.645833333333333</v>
      </c>
      <c r="G51" s="33" t="n">
        <v>0.708333333333333</v>
      </c>
      <c r="H51" s="40" t="n">
        <f aca="false">(G51-F51)*24</f>
        <v>1.5</v>
      </c>
    </row>
    <row r="52" customFormat="false" ht="15" hidden="false" customHeight="false" outlineLevel="0" collapsed="false">
      <c r="A52" s="32" t="s">
        <v>236</v>
      </c>
      <c r="B52" s="32" t="s">
        <v>42</v>
      </c>
      <c r="C52" s="48" t="s">
        <v>296</v>
      </c>
      <c r="D52" s="32" t="s">
        <v>94</v>
      </c>
      <c r="E52" s="32" t="s">
        <v>297</v>
      </c>
      <c r="F52" s="33" t="n">
        <v>0.375</v>
      </c>
      <c r="G52" s="33" t="n">
        <v>0.520833333333333</v>
      </c>
      <c r="H52" s="40" t="n">
        <f aca="false">(G52-F52)*24</f>
        <v>3.5</v>
      </c>
    </row>
    <row r="53" customFormat="false" ht="15" hidden="false" customHeight="false" outlineLevel="0" collapsed="false">
      <c r="A53" s="32" t="s">
        <v>236</v>
      </c>
      <c r="B53" s="32" t="s">
        <v>42</v>
      </c>
      <c r="C53" s="48" t="s">
        <v>296</v>
      </c>
      <c r="D53" s="32" t="s">
        <v>94</v>
      </c>
      <c r="E53" s="32" t="s">
        <v>300</v>
      </c>
      <c r="F53" s="33" t="n">
        <v>0.541666666666667</v>
      </c>
      <c r="G53" s="33" t="n">
        <v>0.625</v>
      </c>
      <c r="H53" s="40" t="n">
        <f aca="false">(G53-F53)*24</f>
        <v>2</v>
      </c>
    </row>
    <row r="54" customFormat="false" ht="15" hidden="false" customHeight="false" outlineLevel="0" collapsed="false">
      <c r="A54" s="32" t="s">
        <v>236</v>
      </c>
      <c r="B54" s="32" t="s">
        <v>42</v>
      </c>
      <c r="C54" s="48" t="s">
        <v>296</v>
      </c>
      <c r="D54" s="32" t="s">
        <v>94</v>
      </c>
      <c r="E54" s="32" t="s">
        <v>301</v>
      </c>
      <c r="F54" s="33" t="n">
        <v>0.625</v>
      </c>
      <c r="G54" s="33" t="n">
        <v>0.6875</v>
      </c>
      <c r="H54" s="40" t="n">
        <f aca="false">(G54-F54)*24</f>
        <v>1.5</v>
      </c>
    </row>
    <row r="55" customFormat="false" ht="15" hidden="false" customHeight="false" outlineLevel="0" collapsed="false">
      <c r="A55" s="32" t="s">
        <v>236</v>
      </c>
      <c r="B55" s="32" t="s">
        <v>42</v>
      </c>
      <c r="C55" s="48" t="s">
        <v>296</v>
      </c>
      <c r="D55" s="32" t="s">
        <v>105</v>
      </c>
      <c r="E55" s="32" t="s">
        <v>303</v>
      </c>
      <c r="F55" s="33" t="n">
        <v>0.5</v>
      </c>
      <c r="G55" s="33" t="n">
        <v>0.552083333333333</v>
      </c>
      <c r="H55" s="40" t="n">
        <f aca="false">(G55-F55)*24</f>
        <v>1.25</v>
      </c>
    </row>
    <row r="56" customFormat="false" ht="15" hidden="false" customHeight="false" outlineLevel="0" collapsed="false">
      <c r="A56" s="32" t="s">
        <v>236</v>
      </c>
      <c r="B56" s="32" t="s">
        <v>42</v>
      </c>
      <c r="C56" s="48" t="s">
        <v>296</v>
      </c>
      <c r="D56" s="32" t="s">
        <v>117</v>
      </c>
      <c r="E56" s="32" t="s">
        <v>297</v>
      </c>
      <c r="F56" s="33" t="n">
        <v>0.375</v>
      </c>
      <c r="G56" s="33" t="n">
        <v>0.520833333333333</v>
      </c>
      <c r="H56" s="40" t="n">
        <f aca="false">(G56-F56)*24</f>
        <v>3.5</v>
      </c>
    </row>
    <row r="57" customFormat="false" ht="15" hidden="false" customHeight="false" outlineLevel="0" collapsed="false">
      <c r="A57" s="32" t="s">
        <v>236</v>
      </c>
      <c r="B57" s="32" t="s">
        <v>42</v>
      </c>
      <c r="C57" s="48" t="s">
        <v>296</v>
      </c>
      <c r="D57" s="32" t="s">
        <v>117</v>
      </c>
      <c r="E57" s="32" t="s">
        <v>306</v>
      </c>
      <c r="F57" s="33" t="n">
        <v>0.5</v>
      </c>
      <c r="G57" s="33" t="n">
        <v>0.5625</v>
      </c>
      <c r="H57" s="40" t="n">
        <f aca="false">(G57-F57)*24</f>
        <v>1.5</v>
      </c>
    </row>
    <row r="58" customFormat="false" ht="15" hidden="false" customHeight="false" outlineLevel="0" collapsed="false">
      <c r="A58" s="32" t="s">
        <v>236</v>
      </c>
      <c r="B58" s="32" t="s">
        <v>42</v>
      </c>
      <c r="C58" s="48" t="s">
        <v>296</v>
      </c>
      <c r="D58" s="32" t="s">
        <v>117</v>
      </c>
      <c r="E58" s="32" t="s">
        <v>307</v>
      </c>
      <c r="F58" s="33" t="n">
        <v>0.625</v>
      </c>
      <c r="G58" s="33" t="n">
        <v>0.666666666666667</v>
      </c>
      <c r="H58" s="40" t="n">
        <f aca="false">(G58-F58)*24</f>
        <v>1</v>
      </c>
    </row>
    <row r="59" customFormat="false" ht="15" hidden="false" customHeight="false" outlineLevel="0" collapsed="false">
      <c r="A59" s="32" t="s">
        <v>236</v>
      </c>
      <c r="B59" s="32" t="s">
        <v>42</v>
      </c>
      <c r="C59" s="48" t="s">
        <v>296</v>
      </c>
      <c r="D59" s="32" t="s">
        <v>118</v>
      </c>
      <c r="E59" s="32" t="s">
        <v>310</v>
      </c>
      <c r="F59" s="33" t="n">
        <v>0.625</v>
      </c>
      <c r="G59" s="33" t="n">
        <v>0.708333333333333</v>
      </c>
      <c r="H59" s="40" t="n">
        <f aca="false">(G59-F59)*24</f>
        <v>2</v>
      </c>
    </row>
    <row r="60" customFormat="false" ht="15" hidden="false" customHeight="false" outlineLevel="0" collapsed="false">
      <c r="A60" s="32" t="s">
        <v>236</v>
      </c>
      <c r="B60" s="32" t="s">
        <v>43</v>
      </c>
      <c r="C60" s="48" t="s">
        <v>296</v>
      </c>
      <c r="D60" s="32" t="s">
        <v>70</v>
      </c>
      <c r="E60" s="32" t="s">
        <v>305</v>
      </c>
      <c r="F60" s="33" t="n">
        <v>0.5</v>
      </c>
      <c r="G60" s="33" t="n">
        <v>0.541666666666667</v>
      </c>
      <c r="H60" s="40" t="n">
        <f aca="false">(G60-F60)*24</f>
        <v>1</v>
      </c>
    </row>
    <row r="61" customFormat="false" ht="15" hidden="false" customHeight="false" outlineLevel="0" collapsed="false">
      <c r="A61" s="32" t="s">
        <v>236</v>
      </c>
      <c r="B61" s="32" t="s">
        <v>43</v>
      </c>
      <c r="C61" s="48" t="s">
        <v>296</v>
      </c>
      <c r="D61" s="32" t="s">
        <v>70</v>
      </c>
      <c r="E61" s="32" t="s">
        <v>311</v>
      </c>
      <c r="F61" s="33" t="n">
        <v>0.5625</v>
      </c>
      <c r="G61" s="33" t="n">
        <v>0.618055555555556</v>
      </c>
      <c r="H61" s="40" t="n">
        <f aca="false">(G61-F61)*24</f>
        <v>1.33333333333333</v>
      </c>
    </row>
    <row r="62" customFormat="false" ht="15" hidden="false" customHeight="false" outlineLevel="0" collapsed="false">
      <c r="A62" s="32" t="s">
        <v>236</v>
      </c>
      <c r="B62" s="32" t="s">
        <v>43</v>
      </c>
      <c r="C62" s="48" t="s">
        <v>296</v>
      </c>
      <c r="D62" s="32" t="s">
        <v>70</v>
      </c>
      <c r="E62" s="32" t="s">
        <v>299</v>
      </c>
      <c r="F62" s="33" t="n">
        <v>0.645833333333333</v>
      </c>
      <c r="G62" s="33" t="n">
        <v>0.708333333333333</v>
      </c>
      <c r="H62" s="40" t="n">
        <f aca="false">(G62-F62)*24</f>
        <v>1.5</v>
      </c>
    </row>
    <row r="63" customFormat="false" ht="15" hidden="false" customHeight="false" outlineLevel="0" collapsed="false">
      <c r="A63" s="32" t="s">
        <v>236</v>
      </c>
      <c r="B63" s="32" t="s">
        <v>43</v>
      </c>
      <c r="C63" s="48" t="s">
        <v>296</v>
      </c>
      <c r="D63" s="32" t="s">
        <v>94</v>
      </c>
      <c r="E63" s="32" t="s">
        <v>308</v>
      </c>
      <c r="F63" s="33" t="n">
        <v>0.458333333333333</v>
      </c>
      <c r="G63" s="33" t="n">
        <v>0.541666666666667</v>
      </c>
      <c r="H63" s="40" t="n">
        <f aca="false">(G63-F63)*24</f>
        <v>2</v>
      </c>
    </row>
    <row r="64" customFormat="false" ht="15" hidden="false" customHeight="false" outlineLevel="0" collapsed="false">
      <c r="A64" s="32" t="s">
        <v>236</v>
      </c>
      <c r="B64" s="32" t="s">
        <v>43</v>
      </c>
      <c r="C64" s="48" t="s">
        <v>296</v>
      </c>
      <c r="D64" s="32" t="s">
        <v>94</v>
      </c>
      <c r="E64" s="32" t="s">
        <v>298</v>
      </c>
      <c r="F64" s="33" t="n">
        <v>0.5</v>
      </c>
      <c r="G64" s="33" t="n">
        <v>0.541666666666667</v>
      </c>
      <c r="H64" s="40" t="n">
        <f aca="false">(G64-F64)*24</f>
        <v>1</v>
      </c>
    </row>
    <row r="65" customFormat="false" ht="15" hidden="false" customHeight="false" outlineLevel="0" collapsed="false">
      <c r="A65" s="32" t="s">
        <v>236</v>
      </c>
      <c r="B65" s="32" t="s">
        <v>43</v>
      </c>
      <c r="C65" s="48" t="s">
        <v>296</v>
      </c>
      <c r="D65" s="32" t="s">
        <v>94</v>
      </c>
      <c r="E65" s="32" t="s">
        <v>300</v>
      </c>
      <c r="F65" s="33" t="n">
        <v>0.541666666666667</v>
      </c>
      <c r="G65" s="33" t="n">
        <v>0.625</v>
      </c>
      <c r="H65" s="40" t="n">
        <f aca="false">(G65-F65)*24</f>
        <v>2</v>
      </c>
    </row>
    <row r="66" customFormat="false" ht="15" hidden="false" customHeight="false" outlineLevel="0" collapsed="false">
      <c r="A66" s="32" t="s">
        <v>236</v>
      </c>
      <c r="B66" s="32" t="s">
        <v>43</v>
      </c>
      <c r="C66" s="48" t="s">
        <v>296</v>
      </c>
      <c r="D66" s="32" t="s">
        <v>94</v>
      </c>
      <c r="E66" s="32" t="s">
        <v>301</v>
      </c>
      <c r="F66" s="33" t="n">
        <v>0.625</v>
      </c>
      <c r="G66" s="33" t="n">
        <v>0.708333333333333</v>
      </c>
      <c r="H66" s="40" t="n">
        <f aca="false">(G66-F66)*24</f>
        <v>2</v>
      </c>
    </row>
    <row r="67" customFormat="false" ht="15" hidden="false" customHeight="false" outlineLevel="0" collapsed="false">
      <c r="A67" s="32" t="s">
        <v>236</v>
      </c>
      <c r="B67" s="32" t="s">
        <v>43</v>
      </c>
      <c r="C67" s="48" t="s">
        <v>296</v>
      </c>
      <c r="D67" s="32" t="s">
        <v>105</v>
      </c>
      <c r="E67" s="32" t="s">
        <v>313</v>
      </c>
      <c r="F67" s="33" t="n">
        <v>0.395833333333333</v>
      </c>
      <c r="G67" s="33" t="n">
        <v>0.430555555555556</v>
      </c>
      <c r="H67" s="40" t="n">
        <f aca="false">(G67-F67)*24</f>
        <v>0.833333333333333</v>
      </c>
    </row>
    <row r="68" customFormat="false" ht="15" hidden="false" customHeight="false" outlineLevel="0" collapsed="false">
      <c r="A68" s="32" t="s">
        <v>236</v>
      </c>
      <c r="B68" s="32" t="s">
        <v>43</v>
      </c>
      <c r="C68" s="48" t="s">
        <v>296</v>
      </c>
      <c r="D68" s="32" t="s">
        <v>105</v>
      </c>
      <c r="E68" s="32" t="s">
        <v>303</v>
      </c>
      <c r="F68" s="33" t="n">
        <v>0.5</v>
      </c>
      <c r="G68" s="33" t="n">
        <v>0.552083333333333</v>
      </c>
      <c r="H68" s="40" t="n">
        <f aca="false">(G68-F68)*24</f>
        <v>1.25</v>
      </c>
    </row>
    <row r="69" customFormat="false" ht="15" hidden="false" customHeight="false" outlineLevel="0" collapsed="false">
      <c r="A69" s="32" t="s">
        <v>236</v>
      </c>
      <c r="B69" s="32" t="s">
        <v>43</v>
      </c>
      <c r="C69" s="48" t="s">
        <v>296</v>
      </c>
      <c r="D69" s="32" t="s">
        <v>105</v>
      </c>
      <c r="E69" s="32" t="s">
        <v>311</v>
      </c>
      <c r="F69" s="33" t="n">
        <v>0.5625</v>
      </c>
      <c r="G69" s="33" t="n">
        <v>0.618055555555556</v>
      </c>
      <c r="H69" s="40" t="n">
        <f aca="false">(G69-F69)*24</f>
        <v>1.33333333333333</v>
      </c>
    </row>
    <row r="70" customFormat="false" ht="15" hidden="false" customHeight="false" outlineLevel="0" collapsed="false">
      <c r="A70" s="32" t="s">
        <v>236</v>
      </c>
      <c r="B70" s="32" t="s">
        <v>43</v>
      </c>
      <c r="C70" s="48" t="s">
        <v>296</v>
      </c>
      <c r="D70" s="32" t="s">
        <v>117</v>
      </c>
      <c r="E70" s="32" t="s">
        <v>306</v>
      </c>
      <c r="F70" s="33" t="n">
        <v>0.5</v>
      </c>
      <c r="G70" s="33" t="n">
        <v>0.5625</v>
      </c>
      <c r="H70" s="40" t="n">
        <f aca="false">(G70-F70)*24</f>
        <v>1.5</v>
      </c>
    </row>
    <row r="71" customFormat="false" ht="15" hidden="false" customHeight="false" outlineLevel="0" collapsed="false">
      <c r="A71" s="32" t="s">
        <v>236</v>
      </c>
      <c r="B71" s="32" t="s">
        <v>43</v>
      </c>
      <c r="C71" s="48" t="s">
        <v>296</v>
      </c>
      <c r="D71" s="32" t="s">
        <v>117</v>
      </c>
      <c r="E71" s="32" t="s">
        <v>307</v>
      </c>
      <c r="F71" s="33" t="n">
        <v>0.625</v>
      </c>
      <c r="G71" s="33" t="n">
        <v>0.666666666666667</v>
      </c>
      <c r="H71" s="40" t="n">
        <f aca="false">(G71-F71)*24</f>
        <v>1</v>
      </c>
    </row>
    <row r="72" customFormat="false" ht="15" hidden="false" customHeight="false" outlineLevel="0" collapsed="false">
      <c r="A72" s="32" t="s">
        <v>236</v>
      </c>
      <c r="B72" s="32" t="s">
        <v>43</v>
      </c>
      <c r="C72" s="48" t="s">
        <v>296</v>
      </c>
      <c r="D72" s="32" t="s">
        <v>118</v>
      </c>
      <c r="E72" s="32" t="s">
        <v>319</v>
      </c>
      <c r="F72" s="33" t="n">
        <v>0.541666666666667</v>
      </c>
      <c r="G72" s="33" t="n">
        <v>0.625</v>
      </c>
      <c r="H72" s="40" t="n">
        <f aca="false">(G72-F72)*24</f>
        <v>2</v>
      </c>
    </row>
    <row r="73" customFormat="false" ht="15" hidden="false" customHeight="false" outlineLevel="0" collapsed="false">
      <c r="A73" s="32" t="s">
        <v>236</v>
      </c>
      <c r="B73" s="32" t="s">
        <v>43</v>
      </c>
      <c r="C73" s="48" t="s">
        <v>296</v>
      </c>
      <c r="D73" s="32" t="s">
        <v>118</v>
      </c>
      <c r="E73" s="32" t="s">
        <v>310</v>
      </c>
      <c r="F73" s="33" t="n">
        <v>0.625</v>
      </c>
      <c r="G73" s="33" t="n">
        <v>0.708333333333333</v>
      </c>
      <c r="H73" s="40" t="n">
        <f aca="false">(G73-F73)*24</f>
        <v>2</v>
      </c>
    </row>
    <row r="74" customFormat="false" ht="15" hidden="false" customHeight="false" outlineLevel="0" collapsed="false">
      <c r="A74" s="32" t="s">
        <v>236</v>
      </c>
      <c r="B74" s="32" t="s">
        <v>44</v>
      </c>
      <c r="C74" s="48" t="s">
        <v>296</v>
      </c>
      <c r="D74" s="32" t="s">
        <v>70</v>
      </c>
      <c r="E74" s="32" t="s">
        <v>305</v>
      </c>
      <c r="F74" s="33" t="n">
        <v>0.5</v>
      </c>
      <c r="G74" s="33" t="n">
        <v>0.541666666666667</v>
      </c>
      <c r="H74" s="40" t="n">
        <f aca="false">(G74-F74)*24</f>
        <v>1</v>
      </c>
    </row>
    <row r="75" customFormat="false" ht="15" hidden="false" customHeight="false" outlineLevel="0" collapsed="false">
      <c r="A75" s="32" t="s">
        <v>236</v>
      </c>
      <c r="B75" s="32" t="s">
        <v>44</v>
      </c>
      <c r="C75" s="48" t="s">
        <v>296</v>
      </c>
      <c r="D75" s="32" t="s">
        <v>70</v>
      </c>
      <c r="E75" s="32" t="s">
        <v>299</v>
      </c>
      <c r="F75" s="33" t="n">
        <v>0.645833333333333</v>
      </c>
      <c r="G75" s="33" t="n">
        <v>0.708333333333333</v>
      </c>
      <c r="H75" s="40" t="n">
        <f aca="false">(G75-F75)*24</f>
        <v>1.5</v>
      </c>
    </row>
    <row r="76" customFormat="false" ht="15" hidden="false" customHeight="false" outlineLevel="0" collapsed="false">
      <c r="A76" s="32" t="s">
        <v>236</v>
      </c>
      <c r="B76" s="32" t="s">
        <v>44</v>
      </c>
      <c r="C76" s="48" t="s">
        <v>296</v>
      </c>
      <c r="D76" s="32" t="s">
        <v>94</v>
      </c>
      <c r="E76" s="32" t="s">
        <v>300</v>
      </c>
      <c r="F76" s="33" t="n">
        <v>0.541666666666667</v>
      </c>
      <c r="G76" s="33" t="n">
        <v>0.625</v>
      </c>
      <c r="H76" s="40" t="n">
        <f aca="false">(G76-F76)*24</f>
        <v>2</v>
      </c>
    </row>
    <row r="77" customFormat="false" ht="15" hidden="false" customHeight="false" outlineLevel="0" collapsed="false">
      <c r="A77" s="32" t="s">
        <v>236</v>
      </c>
      <c r="B77" s="32" t="s">
        <v>44</v>
      </c>
      <c r="C77" s="48" t="s">
        <v>296</v>
      </c>
      <c r="D77" s="32" t="s">
        <v>94</v>
      </c>
      <c r="E77" s="32" t="s">
        <v>301</v>
      </c>
      <c r="F77" s="33" t="n">
        <v>0.625</v>
      </c>
      <c r="G77" s="33" t="n">
        <v>0.6875</v>
      </c>
      <c r="H77" s="40" t="n">
        <f aca="false">(G77-F77)*24</f>
        <v>1.5</v>
      </c>
    </row>
    <row r="78" customFormat="false" ht="15" hidden="false" customHeight="false" outlineLevel="0" collapsed="false">
      <c r="A78" s="32" t="s">
        <v>236</v>
      </c>
      <c r="B78" s="32" t="s">
        <v>44</v>
      </c>
      <c r="C78" s="48" t="s">
        <v>296</v>
      </c>
      <c r="D78" s="32" t="s">
        <v>105</v>
      </c>
      <c r="E78" s="32" t="s">
        <v>302</v>
      </c>
      <c r="F78" s="33" t="n">
        <v>0.458333333333333</v>
      </c>
      <c r="G78" s="33" t="n">
        <v>0.5</v>
      </c>
      <c r="H78" s="40" t="n">
        <f aca="false">(G78-F78)*24</f>
        <v>1</v>
      </c>
    </row>
    <row r="79" customFormat="false" ht="15" hidden="false" customHeight="false" outlineLevel="0" collapsed="false">
      <c r="A79" s="32" t="s">
        <v>236</v>
      </c>
      <c r="B79" s="32" t="s">
        <v>44</v>
      </c>
      <c r="C79" s="48" t="s">
        <v>296</v>
      </c>
      <c r="D79" s="32" t="s">
        <v>105</v>
      </c>
      <c r="E79" s="32" t="s">
        <v>303</v>
      </c>
      <c r="F79" s="33" t="n">
        <v>0.5</v>
      </c>
      <c r="G79" s="33" t="n">
        <v>0.552083333333333</v>
      </c>
      <c r="H79" s="40" t="n">
        <f aca="false">(G79-F79)*24</f>
        <v>1.25</v>
      </c>
    </row>
    <row r="80" customFormat="false" ht="15" hidden="false" customHeight="false" outlineLevel="0" collapsed="false">
      <c r="A80" s="32" t="s">
        <v>236</v>
      </c>
      <c r="B80" s="32" t="s">
        <v>44</v>
      </c>
      <c r="C80" s="48" t="s">
        <v>296</v>
      </c>
      <c r="D80" s="32" t="s">
        <v>117</v>
      </c>
      <c r="E80" s="32" t="s">
        <v>306</v>
      </c>
      <c r="F80" s="33" t="n">
        <v>0.5</v>
      </c>
      <c r="G80" s="33" t="n">
        <v>0.5625</v>
      </c>
      <c r="H80" s="40" t="n">
        <f aca="false">(G80-F80)*24</f>
        <v>1.5</v>
      </c>
    </row>
    <row r="81" customFormat="false" ht="15" hidden="false" customHeight="false" outlineLevel="0" collapsed="false">
      <c r="A81" s="32" t="s">
        <v>236</v>
      </c>
      <c r="B81" s="32" t="s">
        <v>44</v>
      </c>
      <c r="C81" s="48" t="s">
        <v>296</v>
      </c>
      <c r="D81" s="32" t="s">
        <v>117</v>
      </c>
      <c r="E81" s="32" t="s">
        <v>304</v>
      </c>
      <c r="F81" s="33" t="n">
        <v>0.5625</v>
      </c>
      <c r="G81" s="33" t="n">
        <v>0.625</v>
      </c>
      <c r="H81" s="40" t="n">
        <f aca="false">(G81-F81)*24</f>
        <v>1.5</v>
      </c>
    </row>
    <row r="82" customFormat="false" ht="15" hidden="false" customHeight="false" outlineLevel="0" collapsed="false">
      <c r="A82" s="32" t="s">
        <v>236</v>
      </c>
      <c r="B82" s="32" t="s">
        <v>44</v>
      </c>
      <c r="C82" s="48" t="s">
        <v>296</v>
      </c>
      <c r="D82" s="32" t="s">
        <v>117</v>
      </c>
      <c r="E82" s="32" t="s">
        <v>307</v>
      </c>
      <c r="F82" s="33" t="n">
        <v>0.625</v>
      </c>
      <c r="G82" s="33" t="n">
        <v>0.666666666666667</v>
      </c>
      <c r="H82" s="40" t="n">
        <f aca="false">(G82-F82)*24</f>
        <v>1</v>
      </c>
    </row>
    <row r="83" customFormat="false" ht="15" hidden="false" customHeight="false" outlineLevel="0" collapsed="false">
      <c r="A83" s="32" t="s">
        <v>236</v>
      </c>
      <c r="B83" s="32" t="s">
        <v>44</v>
      </c>
      <c r="C83" s="48" t="s">
        <v>296</v>
      </c>
      <c r="D83" s="32" t="s">
        <v>118</v>
      </c>
      <c r="E83" s="32" t="s">
        <v>308</v>
      </c>
      <c r="F83" s="33" t="n">
        <v>0.375</v>
      </c>
      <c r="G83" s="33" t="n">
        <v>0.479166666666667</v>
      </c>
      <c r="H83" s="40" t="n">
        <f aca="false">(G83-F83)*24</f>
        <v>2.5</v>
      </c>
    </row>
    <row r="84" customFormat="false" ht="15" hidden="false" customHeight="false" outlineLevel="0" collapsed="false">
      <c r="A84" s="32" t="s">
        <v>236</v>
      </c>
      <c r="B84" s="32" t="s">
        <v>44</v>
      </c>
      <c r="C84" s="48" t="s">
        <v>296</v>
      </c>
      <c r="D84" s="32" t="s">
        <v>118</v>
      </c>
      <c r="E84" s="32" t="s">
        <v>310</v>
      </c>
      <c r="F84" s="33" t="n">
        <v>0.625</v>
      </c>
      <c r="G84" s="33" t="n">
        <v>0.708333333333333</v>
      </c>
      <c r="H84" s="40" t="n">
        <f aca="false">(G84-F84)*24</f>
        <v>2</v>
      </c>
    </row>
    <row r="85" customFormat="false" ht="15" hidden="false" customHeight="false" outlineLevel="0" collapsed="false">
      <c r="A85" s="32" t="s">
        <v>236</v>
      </c>
      <c r="B85" s="32" t="s">
        <v>45</v>
      </c>
      <c r="C85" s="48" t="s">
        <v>296</v>
      </c>
      <c r="D85" s="32" t="s">
        <v>70</v>
      </c>
      <c r="E85" s="32" t="s">
        <v>317</v>
      </c>
      <c r="F85" s="33" t="n">
        <v>0.5</v>
      </c>
      <c r="G85" s="33" t="n">
        <v>0.541666666666667</v>
      </c>
      <c r="H85" s="40" t="n">
        <f aca="false">(G85-F85)*24</f>
        <v>1</v>
      </c>
    </row>
    <row r="86" customFormat="false" ht="15" hidden="false" customHeight="false" outlineLevel="0" collapsed="false">
      <c r="A86" s="32" t="s">
        <v>236</v>
      </c>
      <c r="B86" s="32" t="s">
        <v>45</v>
      </c>
      <c r="C86" s="48" t="s">
        <v>296</v>
      </c>
      <c r="D86" s="32" t="s">
        <v>70</v>
      </c>
      <c r="E86" s="32" t="s">
        <v>299</v>
      </c>
      <c r="F86" s="33" t="n">
        <v>0.645833333333333</v>
      </c>
      <c r="G86" s="33" t="n">
        <v>0.708333333333333</v>
      </c>
      <c r="H86" s="40" t="n">
        <f aca="false">(G86-F86)*24</f>
        <v>1.5</v>
      </c>
    </row>
    <row r="87" customFormat="false" ht="15" hidden="false" customHeight="false" outlineLevel="0" collapsed="false">
      <c r="A87" s="32" t="s">
        <v>236</v>
      </c>
      <c r="B87" s="32" t="s">
        <v>45</v>
      </c>
      <c r="C87" s="48" t="s">
        <v>296</v>
      </c>
      <c r="D87" s="32" t="s">
        <v>94</v>
      </c>
      <c r="E87" s="32" t="s">
        <v>302</v>
      </c>
      <c r="F87" s="33" t="n">
        <v>0.4375</v>
      </c>
      <c r="G87" s="33" t="n">
        <v>0.5</v>
      </c>
      <c r="H87" s="40" t="n">
        <f aca="false">(G87-F87)*24</f>
        <v>1.5</v>
      </c>
    </row>
    <row r="88" customFormat="false" ht="15" hidden="false" customHeight="false" outlineLevel="0" collapsed="false">
      <c r="A88" s="32" t="s">
        <v>236</v>
      </c>
      <c r="B88" s="32" t="s">
        <v>45</v>
      </c>
      <c r="C88" s="48" t="s">
        <v>296</v>
      </c>
      <c r="D88" s="32" t="s">
        <v>94</v>
      </c>
      <c r="E88" s="32" t="s">
        <v>312</v>
      </c>
      <c r="F88" s="33" t="n">
        <v>0.5</v>
      </c>
      <c r="G88" s="33" t="n">
        <v>0.583333333333333</v>
      </c>
      <c r="H88" s="40" t="n">
        <f aca="false">(G88-F88)*24</f>
        <v>2</v>
      </c>
    </row>
    <row r="89" customFormat="false" ht="15" hidden="false" customHeight="false" outlineLevel="0" collapsed="false">
      <c r="A89" s="32" t="s">
        <v>236</v>
      </c>
      <c r="B89" s="32" t="s">
        <v>45</v>
      </c>
      <c r="C89" s="48" t="s">
        <v>296</v>
      </c>
      <c r="D89" s="32" t="s">
        <v>105</v>
      </c>
      <c r="E89" s="32" t="s">
        <v>320</v>
      </c>
      <c r="F89" s="33" t="n">
        <v>0.645833333333333</v>
      </c>
      <c r="G89" s="33" t="n">
        <v>0.770833333333333</v>
      </c>
      <c r="H89" s="40" t="n">
        <f aca="false">(G89-F89)*24</f>
        <v>3</v>
      </c>
    </row>
    <row r="90" customFormat="false" ht="15" hidden="false" customHeight="false" outlineLevel="0" collapsed="false">
      <c r="A90" s="32" t="s">
        <v>236</v>
      </c>
      <c r="B90" s="32" t="s">
        <v>45</v>
      </c>
      <c r="C90" s="48" t="s">
        <v>296</v>
      </c>
      <c r="D90" s="32" t="s">
        <v>117</v>
      </c>
      <c r="E90" s="32" t="s">
        <v>306</v>
      </c>
      <c r="F90" s="33" t="n">
        <v>0.5</v>
      </c>
      <c r="G90" s="33" t="n">
        <v>0.5625</v>
      </c>
      <c r="H90" s="40" t="n">
        <f aca="false">(G90-F90)*24</f>
        <v>1.5</v>
      </c>
    </row>
    <row r="91" customFormat="false" ht="15" hidden="false" customHeight="false" outlineLevel="0" collapsed="false">
      <c r="A91" s="32" t="s">
        <v>236</v>
      </c>
      <c r="B91" s="32" t="s">
        <v>45</v>
      </c>
      <c r="C91" s="48" t="s">
        <v>296</v>
      </c>
      <c r="D91" s="32" t="s">
        <v>117</v>
      </c>
      <c r="E91" s="32" t="s">
        <v>321</v>
      </c>
      <c r="F91" s="33" t="n">
        <v>0.583333333333333</v>
      </c>
      <c r="G91" s="33" t="n">
        <v>0.645833333333333</v>
      </c>
      <c r="H91" s="40" t="n">
        <f aca="false">(G91-F91)*24</f>
        <v>1.5</v>
      </c>
    </row>
    <row r="92" customFormat="false" ht="15" hidden="false" customHeight="false" outlineLevel="0" collapsed="false">
      <c r="A92" s="32" t="s">
        <v>236</v>
      </c>
      <c r="B92" s="32" t="s">
        <v>45</v>
      </c>
      <c r="C92" s="48" t="s">
        <v>296</v>
      </c>
      <c r="D92" s="32" t="s">
        <v>118</v>
      </c>
      <c r="E92" s="32" t="s">
        <v>308</v>
      </c>
      <c r="F92" s="33" t="n">
        <v>0.375</v>
      </c>
      <c r="G92" s="33" t="n">
        <v>0.479166666666667</v>
      </c>
      <c r="H92" s="40" t="n">
        <f aca="false">(G92-F92)*24</f>
        <v>2.5</v>
      </c>
    </row>
    <row r="93" customFormat="false" ht="15" hidden="false" customHeight="false" outlineLevel="0" collapsed="false">
      <c r="A93" s="32" t="s">
        <v>236</v>
      </c>
      <c r="B93" s="32" t="s">
        <v>45</v>
      </c>
      <c r="C93" s="48" t="s">
        <v>296</v>
      </c>
      <c r="D93" s="32" t="s">
        <v>118</v>
      </c>
      <c r="E93" s="32" t="s">
        <v>319</v>
      </c>
      <c r="F93" s="33" t="n">
        <v>0.5</v>
      </c>
      <c r="G93" s="33" t="n">
        <v>0.583333333333333</v>
      </c>
      <c r="H93" s="40" t="n">
        <f aca="false">(G93-F93)*24</f>
        <v>2</v>
      </c>
    </row>
    <row r="94" customFormat="false" ht="15" hidden="false" customHeight="false" outlineLevel="0" collapsed="false">
      <c r="A94" s="32" t="s">
        <v>236</v>
      </c>
      <c r="B94" s="32" t="s">
        <v>45</v>
      </c>
      <c r="C94" s="48" t="s">
        <v>296</v>
      </c>
      <c r="D94" s="32" t="s">
        <v>118</v>
      </c>
      <c r="E94" s="32" t="s">
        <v>322</v>
      </c>
      <c r="F94" s="33" t="n">
        <v>0.604166666666667</v>
      </c>
      <c r="G94" s="33" t="n">
        <v>0.666666666666667</v>
      </c>
      <c r="H94" s="40" t="n">
        <f aca="false">(G94-F94)*24</f>
        <v>1.5</v>
      </c>
    </row>
    <row r="95" customFormat="false" ht="15" hidden="false" customHeight="false" outlineLevel="0" collapsed="false">
      <c r="A95" s="32" t="s">
        <v>237</v>
      </c>
      <c r="B95" s="32" t="s">
        <v>42</v>
      </c>
      <c r="C95" s="48" t="s">
        <v>296</v>
      </c>
      <c r="D95" s="32" t="s">
        <v>70</v>
      </c>
      <c r="E95" s="32" t="s">
        <v>299</v>
      </c>
      <c r="F95" s="33" t="n">
        <v>0.416666666666667</v>
      </c>
      <c r="G95" s="33" t="n">
        <v>0.479166666666667</v>
      </c>
      <c r="H95" s="40" t="n">
        <f aca="false">(G95-F95)*24</f>
        <v>1.5</v>
      </c>
    </row>
    <row r="96" customFormat="false" ht="15" hidden="false" customHeight="false" outlineLevel="0" collapsed="false">
      <c r="A96" s="32" t="s">
        <v>237</v>
      </c>
      <c r="B96" s="32" t="s">
        <v>42</v>
      </c>
      <c r="C96" s="48" t="s">
        <v>296</v>
      </c>
      <c r="D96" s="32" t="s">
        <v>70</v>
      </c>
      <c r="E96" s="32" t="s">
        <v>323</v>
      </c>
      <c r="F96" s="33" t="n">
        <v>0.489583333333333</v>
      </c>
      <c r="G96" s="33" t="n">
        <v>0.5625</v>
      </c>
      <c r="H96" s="40" t="n">
        <f aca="false">(G96-F96)*24</f>
        <v>1.75</v>
      </c>
    </row>
    <row r="97" customFormat="false" ht="15" hidden="false" customHeight="false" outlineLevel="0" collapsed="false">
      <c r="A97" s="32" t="s">
        <v>237</v>
      </c>
      <c r="B97" s="32" t="s">
        <v>42</v>
      </c>
      <c r="C97" s="48" t="s">
        <v>296</v>
      </c>
      <c r="D97" s="32" t="s">
        <v>70</v>
      </c>
      <c r="E97" s="32" t="s">
        <v>299</v>
      </c>
      <c r="F97" s="33" t="n">
        <v>0.645833333333333</v>
      </c>
      <c r="G97" s="33" t="n">
        <v>0.708333333333333</v>
      </c>
      <c r="H97" s="40" t="n">
        <f aca="false">(G97-F97)*24</f>
        <v>1.5</v>
      </c>
    </row>
    <row r="98" customFormat="false" ht="15" hidden="false" customHeight="false" outlineLevel="0" collapsed="false">
      <c r="A98" s="32" t="s">
        <v>237</v>
      </c>
      <c r="B98" s="32" t="s">
        <v>42</v>
      </c>
      <c r="C98" s="48" t="s">
        <v>296</v>
      </c>
      <c r="D98" s="32" t="s">
        <v>94</v>
      </c>
      <c r="E98" s="32" t="s">
        <v>300</v>
      </c>
      <c r="F98" s="33" t="n">
        <v>0.541666666666667</v>
      </c>
      <c r="G98" s="33" t="n">
        <v>0.645833333333333</v>
      </c>
      <c r="H98" s="40" t="n">
        <f aca="false">(G98-F98)*24</f>
        <v>2.5</v>
      </c>
    </row>
    <row r="99" customFormat="false" ht="15" hidden="false" customHeight="false" outlineLevel="0" collapsed="false">
      <c r="A99" s="32" t="s">
        <v>237</v>
      </c>
      <c r="B99" s="32" t="s">
        <v>42</v>
      </c>
      <c r="C99" s="48" t="s">
        <v>296</v>
      </c>
      <c r="D99" s="32" t="s">
        <v>105</v>
      </c>
      <c r="E99" s="32" t="s">
        <v>304</v>
      </c>
      <c r="F99" s="33" t="n">
        <v>0.5</v>
      </c>
      <c r="G99" s="33" t="n">
        <v>0.5625</v>
      </c>
      <c r="H99" s="40" t="n">
        <f aca="false">(G99-F99)*24</f>
        <v>1.5</v>
      </c>
    </row>
    <row r="100" customFormat="false" ht="15" hidden="false" customHeight="false" outlineLevel="0" collapsed="false">
      <c r="A100" s="32" t="s">
        <v>237</v>
      </c>
      <c r="B100" s="32" t="s">
        <v>42</v>
      </c>
      <c r="C100" s="48" t="s">
        <v>296</v>
      </c>
      <c r="D100" s="32" t="s">
        <v>105</v>
      </c>
      <c r="E100" s="32" t="s">
        <v>305</v>
      </c>
      <c r="F100" s="33" t="n">
        <v>0.645833333333333</v>
      </c>
      <c r="G100" s="33" t="n">
        <v>0.708333333333333</v>
      </c>
      <c r="H100" s="40" t="n">
        <f aca="false">(G100-F100)*24</f>
        <v>1.5</v>
      </c>
    </row>
    <row r="101" customFormat="false" ht="15" hidden="false" customHeight="false" outlineLevel="0" collapsed="false">
      <c r="A101" s="32" t="s">
        <v>237</v>
      </c>
      <c r="B101" s="32" t="s">
        <v>42</v>
      </c>
      <c r="C101" s="48" t="s">
        <v>296</v>
      </c>
      <c r="D101" s="32" t="s">
        <v>117</v>
      </c>
      <c r="E101" s="32" t="s">
        <v>306</v>
      </c>
      <c r="F101" s="33" t="n">
        <v>0.5</v>
      </c>
      <c r="G101" s="33" t="n">
        <v>0.569444444444444</v>
      </c>
      <c r="H101" s="40" t="n">
        <f aca="false">(G101-F101)*24</f>
        <v>1.66666666666667</v>
      </c>
    </row>
    <row r="102" customFormat="false" ht="15" hidden="false" customHeight="false" outlineLevel="0" collapsed="false">
      <c r="A102" s="32" t="s">
        <v>237</v>
      </c>
      <c r="B102" s="32" t="s">
        <v>42</v>
      </c>
      <c r="C102" s="48" t="s">
        <v>296</v>
      </c>
      <c r="D102" s="32" t="s">
        <v>117</v>
      </c>
      <c r="E102" s="32" t="s">
        <v>307</v>
      </c>
      <c r="F102" s="33" t="n">
        <v>0.625</v>
      </c>
      <c r="G102" s="33" t="n">
        <v>0.666666666666667</v>
      </c>
      <c r="H102" s="40" t="n">
        <f aca="false">(G102-F102)*24</f>
        <v>1</v>
      </c>
    </row>
    <row r="103" customFormat="false" ht="15" hidden="false" customHeight="false" outlineLevel="0" collapsed="false">
      <c r="A103" s="32" t="s">
        <v>237</v>
      </c>
      <c r="B103" s="32" t="s">
        <v>42</v>
      </c>
      <c r="C103" s="48" t="s">
        <v>296</v>
      </c>
      <c r="D103" s="32" t="s">
        <v>118</v>
      </c>
      <c r="E103" s="32" t="s">
        <v>308</v>
      </c>
      <c r="F103" s="33" t="n">
        <v>0.375</v>
      </c>
      <c r="G103" s="33" t="n">
        <v>0.479166666666667</v>
      </c>
      <c r="H103" s="40" t="n">
        <f aca="false">(G103-F103)*24</f>
        <v>2.5</v>
      </c>
    </row>
    <row r="104" customFormat="false" ht="15" hidden="false" customHeight="false" outlineLevel="0" collapsed="false">
      <c r="A104" s="32" t="s">
        <v>237</v>
      </c>
      <c r="B104" s="32" t="s">
        <v>42</v>
      </c>
      <c r="C104" s="48" t="s">
        <v>296</v>
      </c>
      <c r="D104" s="32" t="s">
        <v>118</v>
      </c>
      <c r="E104" s="32" t="s">
        <v>309</v>
      </c>
      <c r="F104" s="33" t="n">
        <v>0.5</v>
      </c>
      <c r="G104" s="33" t="n">
        <v>0.541666666666667</v>
      </c>
      <c r="H104" s="40" t="n">
        <f aca="false">(G104-F104)*24</f>
        <v>1</v>
      </c>
    </row>
    <row r="105" customFormat="false" ht="15" hidden="false" customHeight="false" outlineLevel="0" collapsed="false">
      <c r="A105" s="32" t="s">
        <v>237</v>
      </c>
      <c r="B105" s="32" t="s">
        <v>42</v>
      </c>
      <c r="C105" s="48" t="s">
        <v>296</v>
      </c>
      <c r="D105" s="32" t="s">
        <v>118</v>
      </c>
      <c r="E105" s="32" t="s">
        <v>310</v>
      </c>
      <c r="F105" s="33" t="n">
        <v>0.645833333333333</v>
      </c>
      <c r="G105" s="33" t="n">
        <v>0.708333333333333</v>
      </c>
      <c r="H105" s="40" t="n">
        <f aca="false">(G105-F105)*24</f>
        <v>1.5</v>
      </c>
    </row>
    <row r="106" customFormat="false" ht="15" hidden="false" customHeight="false" outlineLevel="0" collapsed="false">
      <c r="A106" s="32" t="s">
        <v>237</v>
      </c>
      <c r="B106" s="32" t="s">
        <v>43</v>
      </c>
      <c r="C106" s="48" t="s">
        <v>296</v>
      </c>
      <c r="D106" s="32" t="s">
        <v>70</v>
      </c>
      <c r="E106" s="32" t="s">
        <v>324</v>
      </c>
      <c r="F106" s="33" t="n">
        <v>0.375</v>
      </c>
      <c r="G106" s="33" t="n">
        <v>0.4375</v>
      </c>
      <c r="H106" s="40" t="n">
        <f aca="false">(G106-F106)*24</f>
        <v>1.5</v>
      </c>
    </row>
    <row r="107" customFormat="false" ht="15" hidden="false" customHeight="false" outlineLevel="0" collapsed="false">
      <c r="A107" s="32" t="s">
        <v>237</v>
      </c>
      <c r="B107" s="32" t="s">
        <v>43</v>
      </c>
      <c r="C107" s="48" t="s">
        <v>296</v>
      </c>
      <c r="D107" s="32" t="s">
        <v>70</v>
      </c>
      <c r="E107" s="32" t="s">
        <v>305</v>
      </c>
      <c r="F107" s="33" t="n">
        <v>0.489583333333333</v>
      </c>
      <c r="G107" s="33" t="n">
        <v>0.5625</v>
      </c>
      <c r="H107" s="40" t="n">
        <f aca="false">(G107-F107)*24</f>
        <v>1.75</v>
      </c>
    </row>
    <row r="108" customFormat="false" ht="15" hidden="false" customHeight="false" outlineLevel="0" collapsed="false">
      <c r="A108" s="32" t="s">
        <v>237</v>
      </c>
      <c r="B108" s="32" t="s">
        <v>43</v>
      </c>
      <c r="C108" s="48" t="s">
        <v>296</v>
      </c>
      <c r="D108" s="32" t="s">
        <v>70</v>
      </c>
      <c r="E108" s="32" t="s">
        <v>299</v>
      </c>
      <c r="F108" s="33" t="n">
        <v>0.645833333333333</v>
      </c>
      <c r="G108" s="33" t="n">
        <v>0.708333333333333</v>
      </c>
      <c r="H108" s="40" t="n">
        <f aca="false">(G108-F108)*24</f>
        <v>1.5</v>
      </c>
    </row>
    <row r="109" customFormat="false" ht="15" hidden="false" customHeight="false" outlineLevel="0" collapsed="false">
      <c r="A109" s="32" t="s">
        <v>237</v>
      </c>
      <c r="B109" s="32" t="s">
        <v>43</v>
      </c>
      <c r="C109" s="48" t="s">
        <v>296</v>
      </c>
      <c r="D109" s="32" t="s">
        <v>94</v>
      </c>
      <c r="E109" s="32" t="s">
        <v>325</v>
      </c>
      <c r="F109" s="33" t="n">
        <v>0.479166666666667</v>
      </c>
      <c r="G109" s="33" t="n">
        <v>0.541666666666667</v>
      </c>
      <c r="H109" s="40" t="n">
        <f aca="false">(G109-F109)*24</f>
        <v>1.5</v>
      </c>
    </row>
    <row r="110" customFormat="false" ht="15" hidden="false" customHeight="false" outlineLevel="0" collapsed="false">
      <c r="A110" s="32" t="s">
        <v>237</v>
      </c>
      <c r="B110" s="32" t="s">
        <v>43</v>
      </c>
      <c r="C110" s="48" t="s">
        <v>296</v>
      </c>
      <c r="D110" s="32" t="s">
        <v>94</v>
      </c>
      <c r="E110" s="32" t="s">
        <v>300</v>
      </c>
      <c r="F110" s="33" t="n">
        <v>0.541666666666667</v>
      </c>
      <c r="G110" s="33" t="n">
        <v>0.645833333333333</v>
      </c>
      <c r="H110" s="40" t="n">
        <f aca="false">(G110-F110)*24</f>
        <v>2.5</v>
      </c>
    </row>
    <row r="111" customFormat="false" ht="15" hidden="false" customHeight="false" outlineLevel="0" collapsed="false">
      <c r="A111" s="32" t="s">
        <v>237</v>
      </c>
      <c r="B111" s="32" t="s">
        <v>43</v>
      </c>
      <c r="C111" s="48" t="s">
        <v>296</v>
      </c>
      <c r="D111" s="32" t="s">
        <v>105</v>
      </c>
      <c r="E111" s="32" t="s">
        <v>304</v>
      </c>
      <c r="F111" s="33" t="n">
        <v>0.5</v>
      </c>
      <c r="G111" s="33" t="n">
        <v>0.5625</v>
      </c>
      <c r="H111" s="40" t="n">
        <f aca="false">(G111-F111)*24</f>
        <v>1.5</v>
      </c>
    </row>
    <row r="112" customFormat="false" ht="15" hidden="false" customHeight="false" outlineLevel="0" collapsed="false">
      <c r="A112" s="32" t="s">
        <v>237</v>
      </c>
      <c r="B112" s="32" t="s">
        <v>43</v>
      </c>
      <c r="C112" s="48" t="s">
        <v>296</v>
      </c>
      <c r="D112" s="32" t="s">
        <v>105</v>
      </c>
      <c r="E112" s="32" t="s">
        <v>305</v>
      </c>
      <c r="F112" s="33" t="n">
        <v>0.645833333333333</v>
      </c>
      <c r="G112" s="33" t="n">
        <v>0.708333333333333</v>
      </c>
      <c r="H112" s="40" t="n">
        <f aca="false">(G112-F112)*24</f>
        <v>1.5</v>
      </c>
    </row>
    <row r="113" customFormat="false" ht="15" hidden="false" customHeight="false" outlineLevel="0" collapsed="false">
      <c r="A113" s="32" t="s">
        <v>237</v>
      </c>
      <c r="B113" s="32" t="s">
        <v>43</v>
      </c>
      <c r="C113" s="48" t="s">
        <v>296</v>
      </c>
      <c r="D113" s="32" t="s">
        <v>117</v>
      </c>
      <c r="E113" s="32" t="s">
        <v>306</v>
      </c>
      <c r="F113" s="33" t="n">
        <v>0.5</v>
      </c>
      <c r="G113" s="33" t="n">
        <v>0.569444444444444</v>
      </c>
      <c r="H113" s="40" t="n">
        <f aca="false">(G113-F113)*24</f>
        <v>1.66666666666667</v>
      </c>
    </row>
    <row r="114" customFormat="false" ht="15" hidden="false" customHeight="false" outlineLevel="0" collapsed="false">
      <c r="A114" s="32" t="s">
        <v>237</v>
      </c>
      <c r="B114" s="32" t="s">
        <v>43</v>
      </c>
      <c r="C114" s="48" t="s">
        <v>296</v>
      </c>
      <c r="D114" s="32" t="s">
        <v>117</v>
      </c>
      <c r="E114" s="32" t="s">
        <v>307</v>
      </c>
      <c r="F114" s="33" t="n">
        <v>0.625</v>
      </c>
      <c r="G114" s="33" t="n">
        <v>0.666666666666667</v>
      </c>
      <c r="H114" s="40" t="n">
        <f aca="false">(G114-F114)*24</f>
        <v>1</v>
      </c>
    </row>
    <row r="115" customFormat="false" ht="15" hidden="false" customHeight="false" outlineLevel="0" collapsed="false">
      <c r="A115" s="32" t="s">
        <v>237</v>
      </c>
      <c r="B115" s="32" t="s">
        <v>43</v>
      </c>
      <c r="C115" s="48" t="s">
        <v>296</v>
      </c>
      <c r="D115" s="32" t="s">
        <v>118</v>
      </c>
      <c r="E115" s="32" t="s">
        <v>308</v>
      </c>
      <c r="F115" s="33" t="n">
        <v>0.375</v>
      </c>
      <c r="G115" s="33" t="n">
        <v>0.479166666666667</v>
      </c>
      <c r="H115" s="40" t="n">
        <f aca="false">(G115-F115)*24</f>
        <v>2.5</v>
      </c>
    </row>
    <row r="116" customFormat="false" ht="15" hidden="false" customHeight="false" outlineLevel="0" collapsed="false">
      <c r="A116" s="32" t="s">
        <v>237</v>
      </c>
      <c r="B116" s="32" t="s">
        <v>43</v>
      </c>
      <c r="C116" s="48" t="s">
        <v>296</v>
      </c>
      <c r="D116" s="32" t="s">
        <v>118</v>
      </c>
      <c r="E116" s="32" t="s">
        <v>309</v>
      </c>
      <c r="F116" s="33" t="n">
        <v>0.5</v>
      </c>
      <c r="G116" s="33" t="n">
        <v>0.5625</v>
      </c>
      <c r="H116" s="40" t="n">
        <f aca="false">(G116-F116)*24</f>
        <v>1.5</v>
      </c>
    </row>
    <row r="117" customFormat="false" ht="15" hidden="false" customHeight="false" outlineLevel="0" collapsed="false">
      <c r="A117" s="32" t="s">
        <v>237</v>
      </c>
      <c r="B117" s="32" t="s">
        <v>43</v>
      </c>
      <c r="C117" s="48" t="s">
        <v>296</v>
      </c>
      <c r="D117" s="32" t="s">
        <v>118</v>
      </c>
      <c r="E117" s="32" t="s">
        <v>310</v>
      </c>
      <c r="F117" s="33" t="n">
        <v>0.645833333333333</v>
      </c>
      <c r="G117" s="33" t="n">
        <v>0.708333333333333</v>
      </c>
      <c r="H117" s="40" t="n">
        <f aca="false">(G117-F117)*24</f>
        <v>1.5</v>
      </c>
    </row>
    <row r="118" customFormat="false" ht="15" hidden="false" customHeight="false" outlineLevel="0" collapsed="false">
      <c r="A118" s="32" t="s">
        <v>237</v>
      </c>
      <c r="B118" s="32" t="s">
        <v>44</v>
      </c>
      <c r="C118" s="48" t="s">
        <v>296</v>
      </c>
      <c r="D118" s="32" t="s">
        <v>70</v>
      </c>
      <c r="E118" s="32" t="s">
        <v>324</v>
      </c>
      <c r="F118" s="33" t="n">
        <v>0.375</v>
      </c>
      <c r="G118" s="33" t="n">
        <v>0.4375</v>
      </c>
      <c r="H118" s="40" t="n">
        <f aca="false">(G118-F118)*24</f>
        <v>1.5</v>
      </c>
    </row>
    <row r="119" customFormat="false" ht="15" hidden="false" customHeight="false" outlineLevel="0" collapsed="false">
      <c r="A119" s="32" t="s">
        <v>237</v>
      </c>
      <c r="B119" s="32" t="s">
        <v>44</v>
      </c>
      <c r="C119" s="48" t="s">
        <v>296</v>
      </c>
      <c r="D119" s="32" t="s">
        <v>70</v>
      </c>
      <c r="E119" s="32" t="s">
        <v>299</v>
      </c>
      <c r="F119" s="33" t="n">
        <v>0.645833333333333</v>
      </c>
      <c r="G119" s="33" t="n">
        <v>0.708333333333333</v>
      </c>
      <c r="H119" s="40" t="n">
        <f aca="false">(G119-F119)*24</f>
        <v>1.5</v>
      </c>
    </row>
    <row r="120" customFormat="false" ht="15" hidden="false" customHeight="false" outlineLevel="0" collapsed="false">
      <c r="A120" s="32" t="s">
        <v>237</v>
      </c>
      <c r="B120" s="32" t="s">
        <v>44</v>
      </c>
      <c r="C120" s="48" t="s">
        <v>296</v>
      </c>
      <c r="D120" s="32" t="s">
        <v>94</v>
      </c>
      <c r="E120" s="32" t="s">
        <v>325</v>
      </c>
      <c r="F120" s="33" t="n">
        <v>0.479166666666667</v>
      </c>
      <c r="G120" s="33" t="n">
        <v>0.541666666666667</v>
      </c>
      <c r="H120" s="40" t="n">
        <f aca="false">(G120-F120)*24</f>
        <v>1.5</v>
      </c>
    </row>
    <row r="121" customFormat="false" ht="15" hidden="false" customHeight="false" outlineLevel="0" collapsed="false">
      <c r="A121" s="32" t="s">
        <v>237</v>
      </c>
      <c r="B121" s="32" t="s">
        <v>44</v>
      </c>
      <c r="C121" s="48" t="s">
        <v>296</v>
      </c>
      <c r="D121" s="32" t="s">
        <v>94</v>
      </c>
      <c r="E121" s="32" t="s">
        <v>300</v>
      </c>
      <c r="F121" s="33" t="n">
        <v>0.541666666666667</v>
      </c>
      <c r="G121" s="33" t="n">
        <v>0.645833333333333</v>
      </c>
      <c r="H121" s="40" t="n">
        <f aca="false">(G121-F121)*24</f>
        <v>2.5</v>
      </c>
    </row>
    <row r="122" customFormat="false" ht="15" hidden="false" customHeight="false" outlineLevel="0" collapsed="false">
      <c r="A122" s="32" t="s">
        <v>237</v>
      </c>
      <c r="B122" s="32" t="s">
        <v>44</v>
      </c>
      <c r="C122" s="48" t="s">
        <v>296</v>
      </c>
      <c r="D122" s="32" t="s">
        <v>105</v>
      </c>
      <c r="E122" s="32" t="s">
        <v>318</v>
      </c>
      <c r="F122" s="33" t="n">
        <v>0.354166666666667</v>
      </c>
      <c r="G122" s="33" t="n">
        <v>0.4375</v>
      </c>
      <c r="H122" s="40" t="n">
        <f aca="false">(G122-F122)*24</f>
        <v>2</v>
      </c>
    </row>
    <row r="123" customFormat="false" ht="15" hidden="false" customHeight="false" outlineLevel="0" collapsed="false">
      <c r="A123" s="32" t="s">
        <v>237</v>
      </c>
      <c r="B123" s="32" t="s">
        <v>44</v>
      </c>
      <c r="C123" s="48" t="s">
        <v>296</v>
      </c>
      <c r="D123" s="32" t="s">
        <v>105</v>
      </c>
      <c r="E123" s="32" t="s">
        <v>315</v>
      </c>
      <c r="F123" s="33" t="n">
        <v>0.5</v>
      </c>
      <c r="G123" s="33" t="n">
        <v>0.604166666666667</v>
      </c>
      <c r="H123" s="40" t="n">
        <f aca="false">(G123-F123)*24</f>
        <v>2.5</v>
      </c>
    </row>
    <row r="124" customFormat="false" ht="15" hidden="false" customHeight="false" outlineLevel="0" collapsed="false">
      <c r="A124" s="32" t="s">
        <v>237</v>
      </c>
      <c r="B124" s="32" t="s">
        <v>44</v>
      </c>
      <c r="C124" s="48" t="s">
        <v>296</v>
      </c>
      <c r="D124" s="32" t="s">
        <v>105</v>
      </c>
      <c r="E124" s="32" t="s">
        <v>305</v>
      </c>
      <c r="F124" s="33" t="n">
        <v>0.645833333333333</v>
      </c>
      <c r="G124" s="33" t="n">
        <v>0.708333333333333</v>
      </c>
      <c r="H124" s="40" t="n">
        <f aca="false">(G124-F124)*24</f>
        <v>1.5</v>
      </c>
    </row>
    <row r="125" customFormat="false" ht="15" hidden="false" customHeight="false" outlineLevel="0" collapsed="false">
      <c r="A125" s="32" t="s">
        <v>237</v>
      </c>
      <c r="B125" s="32" t="s">
        <v>44</v>
      </c>
      <c r="C125" s="48" t="s">
        <v>296</v>
      </c>
      <c r="D125" s="32" t="s">
        <v>117</v>
      </c>
      <c r="E125" s="32" t="s">
        <v>326</v>
      </c>
      <c r="F125" s="33" t="n">
        <v>0.583333333333333</v>
      </c>
      <c r="G125" s="33" t="n">
        <v>0.6875</v>
      </c>
      <c r="H125" s="40" t="n">
        <f aca="false">(G125-F125)*24</f>
        <v>2.5</v>
      </c>
    </row>
    <row r="126" customFormat="false" ht="15" hidden="false" customHeight="false" outlineLevel="0" collapsed="false">
      <c r="A126" s="32" t="s">
        <v>237</v>
      </c>
      <c r="B126" s="32" t="s">
        <v>44</v>
      </c>
      <c r="C126" s="48" t="s">
        <v>296</v>
      </c>
      <c r="D126" s="32" t="s">
        <v>117</v>
      </c>
      <c r="E126" s="32" t="s">
        <v>307</v>
      </c>
      <c r="F126" s="33" t="n">
        <v>0.625</v>
      </c>
      <c r="G126" s="33" t="n">
        <v>0.666666666666667</v>
      </c>
      <c r="H126" s="40" t="n">
        <f aca="false">(G126-F126)*24</f>
        <v>1</v>
      </c>
    </row>
    <row r="127" customFormat="false" ht="15" hidden="false" customHeight="false" outlineLevel="0" collapsed="false">
      <c r="A127" s="32" t="s">
        <v>237</v>
      </c>
      <c r="B127" s="32" t="s">
        <v>44</v>
      </c>
      <c r="C127" s="48" t="s">
        <v>296</v>
      </c>
      <c r="D127" s="32" t="s">
        <v>118</v>
      </c>
      <c r="E127" s="32" t="s">
        <v>308</v>
      </c>
      <c r="F127" s="33" t="n">
        <v>0.375</v>
      </c>
      <c r="G127" s="33" t="n">
        <v>0.479166666666667</v>
      </c>
      <c r="H127" s="40" t="n">
        <f aca="false">(G127-F127)*24</f>
        <v>2.5</v>
      </c>
    </row>
    <row r="128" customFormat="false" ht="15" hidden="false" customHeight="false" outlineLevel="0" collapsed="false">
      <c r="A128" s="32" t="s">
        <v>237</v>
      </c>
      <c r="B128" s="32" t="s">
        <v>44</v>
      </c>
      <c r="C128" s="48" t="s">
        <v>296</v>
      </c>
      <c r="D128" s="32" t="s">
        <v>118</v>
      </c>
      <c r="E128" s="32" t="s">
        <v>309</v>
      </c>
      <c r="F128" s="33" t="n">
        <v>0.5</v>
      </c>
      <c r="G128" s="33" t="n">
        <v>0.5625</v>
      </c>
      <c r="H128" s="40" t="n">
        <f aca="false">(G128-F128)*24</f>
        <v>1.5</v>
      </c>
    </row>
    <row r="129" customFormat="false" ht="15" hidden="false" customHeight="false" outlineLevel="0" collapsed="false">
      <c r="A129" s="32" t="s">
        <v>237</v>
      </c>
      <c r="B129" s="32" t="s">
        <v>44</v>
      </c>
      <c r="C129" s="48" t="s">
        <v>296</v>
      </c>
      <c r="D129" s="32" t="s">
        <v>118</v>
      </c>
      <c r="E129" s="32" t="s">
        <v>310</v>
      </c>
      <c r="F129" s="33" t="n">
        <v>0.645833333333333</v>
      </c>
      <c r="G129" s="33" t="n">
        <v>0.708333333333333</v>
      </c>
      <c r="H129" s="40" t="n">
        <f aca="false">(G129-F129)*24</f>
        <v>1.5</v>
      </c>
    </row>
    <row r="130" customFormat="false" ht="15" hidden="false" customHeight="false" outlineLevel="0" collapsed="false">
      <c r="A130" s="32" t="s">
        <v>237</v>
      </c>
      <c r="B130" s="32" t="s">
        <v>45</v>
      </c>
      <c r="C130" s="48" t="s">
        <v>296</v>
      </c>
      <c r="D130" s="32" t="s">
        <v>70</v>
      </c>
      <c r="E130" s="32" t="s">
        <v>327</v>
      </c>
      <c r="F130" s="33" t="n">
        <v>0.479166666666667</v>
      </c>
      <c r="G130" s="33" t="n">
        <v>0.520833333333333</v>
      </c>
      <c r="H130" s="40" t="n">
        <f aca="false">(G130-F130)*24</f>
        <v>1</v>
      </c>
    </row>
    <row r="131" customFormat="false" ht="15" hidden="false" customHeight="false" outlineLevel="0" collapsed="false">
      <c r="A131" s="32" t="s">
        <v>237</v>
      </c>
      <c r="B131" s="32" t="s">
        <v>45</v>
      </c>
      <c r="C131" s="48" t="s">
        <v>296</v>
      </c>
      <c r="D131" s="32" t="s">
        <v>94</v>
      </c>
      <c r="E131" s="32" t="s">
        <v>325</v>
      </c>
      <c r="F131" s="33" t="n">
        <v>0.458333333333333</v>
      </c>
      <c r="G131" s="33" t="n">
        <v>0.5625</v>
      </c>
      <c r="H131" s="40" t="n">
        <f aca="false">(G131-F131)*24</f>
        <v>2.5</v>
      </c>
    </row>
    <row r="132" customFormat="false" ht="15" hidden="false" customHeight="false" outlineLevel="0" collapsed="false">
      <c r="A132" s="32" t="s">
        <v>237</v>
      </c>
      <c r="B132" s="32" t="s">
        <v>45</v>
      </c>
      <c r="C132" s="48" t="s">
        <v>296</v>
      </c>
      <c r="D132" s="32" t="s">
        <v>105</v>
      </c>
      <c r="E132" s="32" t="s">
        <v>302</v>
      </c>
      <c r="F132" s="33" t="n">
        <v>0.395833333333333</v>
      </c>
      <c r="G132" s="33" t="n">
        <v>0.458333333333333</v>
      </c>
      <c r="H132" s="40" t="n">
        <f aca="false">(G132-F132)*24</f>
        <v>1.5</v>
      </c>
    </row>
    <row r="133" customFormat="false" ht="15" hidden="false" customHeight="false" outlineLevel="0" collapsed="false">
      <c r="A133" s="32" t="s">
        <v>237</v>
      </c>
      <c r="B133" s="32" t="s">
        <v>45</v>
      </c>
      <c r="C133" s="48" t="s">
        <v>296</v>
      </c>
      <c r="D133" s="32" t="s">
        <v>105</v>
      </c>
      <c r="E133" s="32" t="s">
        <v>320</v>
      </c>
      <c r="F133" s="33" t="n">
        <v>0.645833333333333</v>
      </c>
      <c r="G133" s="33" t="n">
        <v>0.708333333333333</v>
      </c>
      <c r="H133" s="40" t="n">
        <f aca="false">(G133-F133)*24</f>
        <v>1.5</v>
      </c>
    </row>
    <row r="134" customFormat="false" ht="15" hidden="false" customHeight="false" outlineLevel="0" collapsed="false">
      <c r="A134" s="32" t="s">
        <v>237</v>
      </c>
      <c r="B134" s="32" t="s">
        <v>45</v>
      </c>
      <c r="C134" s="48" t="s">
        <v>296</v>
      </c>
      <c r="D134" s="32" t="s">
        <v>118</v>
      </c>
      <c r="E134" s="32" t="s">
        <v>308</v>
      </c>
      <c r="F134" s="33" t="n">
        <v>0.375</v>
      </c>
      <c r="G134" s="33" t="n">
        <v>0.479166666666667</v>
      </c>
      <c r="H134" s="40" t="n">
        <f aca="false">(G134-F134)*24</f>
        <v>2.5</v>
      </c>
    </row>
    <row r="135" customFormat="false" ht="15" hidden="false" customHeight="false" outlineLevel="0" collapsed="false">
      <c r="A135" s="32" t="s">
        <v>135</v>
      </c>
      <c r="B135" s="32" t="s">
        <v>42</v>
      </c>
      <c r="C135" s="48" t="s">
        <v>328</v>
      </c>
      <c r="D135" s="32" t="s">
        <v>70</v>
      </c>
      <c r="E135" s="32" t="s">
        <v>305</v>
      </c>
      <c r="F135" s="33" t="n">
        <v>0.5</v>
      </c>
      <c r="G135" s="33" t="n">
        <v>0.5625</v>
      </c>
      <c r="H135" s="40" t="n">
        <f aca="false">(G135-F135)*24</f>
        <v>1.5</v>
      </c>
    </row>
    <row r="136" customFormat="false" ht="15" hidden="false" customHeight="false" outlineLevel="0" collapsed="false">
      <c r="A136" s="32" t="s">
        <v>135</v>
      </c>
      <c r="B136" s="32" t="s">
        <v>42</v>
      </c>
      <c r="C136" s="48" t="s">
        <v>328</v>
      </c>
      <c r="D136" s="32" t="s">
        <v>70</v>
      </c>
      <c r="E136" s="32" t="s">
        <v>299</v>
      </c>
      <c r="F136" s="33" t="n">
        <v>0.645833333333333</v>
      </c>
      <c r="G136" s="33" t="n">
        <v>0.708333333333333</v>
      </c>
      <c r="H136" s="40" t="n">
        <f aca="false">(G136-F136)*24</f>
        <v>1.5</v>
      </c>
    </row>
    <row r="137" customFormat="false" ht="15" hidden="false" customHeight="false" outlineLevel="0" collapsed="false">
      <c r="A137" s="32" t="s">
        <v>135</v>
      </c>
      <c r="B137" s="32" t="s">
        <v>42</v>
      </c>
      <c r="C137" s="48" t="s">
        <v>328</v>
      </c>
      <c r="D137" s="32" t="s">
        <v>94</v>
      </c>
      <c r="E137" s="32" t="s">
        <v>329</v>
      </c>
      <c r="F137" s="33" t="n">
        <v>0.5</v>
      </c>
      <c r="G137" s="33" t="n">
        <v>0.583333333333333</v>
      </c>
      <c r="H137" s="40" t="n">
        <f aca="false">(G137-F137)*24</f>
        <v>2</v>
      </c>
    </row>
    <row r="138" customFormat="false" ht="15" hidden="false" customHeight="false" outlineLevel="0" collapsed="false">
      <c r="A138" s="32" t="s">
        <v>135</v>
      </c>
      <c r="B138" s="32" t="s">
        <v>42</v>
      </c>
      <c r="C138" s="48" t="s">
        <v>328</v>
      </c>
      <c r="D138" s="32" t="s">
        <v>94</v>
      </c>
      <c r="E138" s="32" t="s">
        <v>301</v>
      </c>
      <c r="F138" s="33" t="n">
        <v>0.625</v>
      </c>
      <c r="G138" s="33" t="n">
        <v>0.708333333333333</v>
      </c>
      <c r="H138" s="40" t="n">
        <f aca="false">(G138-F138)*24</f>
        <v>2</v>
      </c>
    </row>
    <row r="139" customFormat="false" ht="15" hidden="false" customHeight="false" outlineLevel="0" collapsed="false">
      <c r="A139" s="32" t="s">
        <v>135</v>
      </c>
      <c r="B139" s="32" t="s">
        <v>42</v>
      </c>
      <c r="C139" s="48" t="s">
        <v>328</v>
      </c>
      <c r="D139" s="32" t="s">
        <v>105</v>
      </c>
      <c r="E139" s="32" t="s">
        <v>300</v>
      </c>
      <c r="F139" s="33" t="n">
        <v>0.541666666666667</v>
      </c>
      <c r="G139" s="33" t="n">
        <v>0.625</v>
      </c>
      <c r="H139" s="40" t="n">
        <f aca="false">(G139-F139)*24</f>
        <v>2</v>
      </c>
    </row>
    <row r="140" customFormat="false" ht="15" hidden="false" customHeight="false" outlineLevel="0" collapsed="false">
      <c r="A140" s="32" t="s">
        <v>135</v>
      </c>
      <c r="B140" s="32" t="s">
        <v>42</v>
      </c>
      <c r="C140" s="48" t="s">
        <v>328</v>
      </c>
      <c r="D140" s="32" t="s">
        <v>117</v>
      </c>
      <c r="E140" s="32" t="s">
        <v>306</v>
      </c>
      <c r="F140" s="33" t="n">
        <v>0.479166666666667</v>
      </c>
      <c r="G140" s="33" t="n">
        <v>0.5625</v>
      </c>
      <c r="H140" s="40" t="n">
        <f aca="false">(G140-F140)*24</f>
        <v>2</v>
      </c>
    </row>
    <row r="141" customFormat="false" ht="15" hidden="false" customHeight="false" outlineLevel="0" collapsed="false">
      <c r="A141" s="32" t="s">
        <v>135</v>
      </c>
      <c r="B141" s="32" t="s">
        <v>42</v>
      </c>
      <c r="C141" s="48" t="s">
        <v>328</v>
      </c>
      <c r="D141" s="32" t="s">
        <v>117</v>
      </c>
      <c r="E141" s="32" t="s">
        <v>307</v>
      </c>
      <c r="F141" s="33" t="n">
        <v>0.625</v>
      </c>
      <c r="G141" s="33" t="n">
        <v>0.666666666666667</v>
      </c>
      <c r="H141" s="40" t="n">
        <f aca="false">(G141-F141)*24</f>
        <v>1</v>
      </c>
    </row>
    <row r="142" customFormat="false" ht="15" hidden="false" customHeight="false" outlineLevel="0" collapsed="false">
      <c r="A142" s="32" t="s">
        <v>135</v>
      </c>
      <c r="B142" s="32" t="s">
        <v>42</v>
      </c>
      <c r="C142" s="48" t="s">
        <v>328</v>
      </c>
      <c r="D142" s="32" t="s">
        <v>118</v>
      </c>
      <c r="E142" s="32" t="s">
        <v>308</v>
      </c>
      <c r="F142" s="33" t="n">
        <v>0.375</v>
      </c>
      <c r="G142" s="33" t="n">
        <v>0.479166666666667</v>
      </c>
      <c r="H142" s="40" t="n">
        <f aca="false">(G142-F142)*24</f>
        <v>2.5</v>
      </c>
    </row>
    <row r="143" customFormat="false" ht="15" hidden="false" customHeight="false" outlineLevel="0" collapsed="false">
      <c r="A143" s="32" t="s">
        <v>135</v>
      </c>
      <c r="B143" s="32" t="s">
        <v>42</v>
      </c>
      <c r="C143" s="48" t="s">
        <v>328</v>
      </c>
      <c r="D143" s="32" t="s">
        <v>118</v>
      </c>
      <c r="E143" s="32" t="s">
        <v>309</v>
      </c>
      <c r="F143" s="33" t="n">
        <v>0.510416666666667</v>
      </c>
      <c r="G143" s="33" t="n">
        <v>0.552083333333333</v>
      </c>
      <c r="H143" s="40" t="n">
        <f aca="false">(G143-F143)*24</f>
        <v>1</v>
      </c>
    </row>
    <row r="144" customFormat="false" ht="15" hidden="false" customHeight="false" outlineLevel="0" collapsed="false">
      <c r="A144" s="32" t="s">
        <v>135</v>
      </c>
      <c r="B144" s="32" t="s">
        <v>42</v>
      </c>
      <c r="C144" s="48" t="s">
        <v>330</v>
      </c>
      <c r="D144" s="32" t="s">
        <v>70</v>
      </c>
      <c r="E144" s="32" t="s">
        <v>305</v>
      </c>
      <c r="F144" s="33" t="n">
        <v>0.5</v>
      </c>
      <c r="G144" s="33" t="n">
        <v>0.5625</v>
      </c>
      <c r="H144" s="40" t="n">
        <f aca="false">(G144-F144)*24</f>
        <v>1.5</v>
      </c>
    </row>
    <row r="145" customFormat="false" ht="15" hidden="false" customHeight="false" outlineLevel="0" collapsed="false">
      <c r="A145" s="32" t="s">
        <v>135</v>
      </c>
      <c r="B145" s="32" t="s">
        <v>42</v>
      </c>
      <c r="C145" s="48" t="s">
        <v>330</v>
      </c>
      <c r="D145" s="32" t="s">
        <v>70</v>
      </c>
      <c r="E145" s="32" t="s">
        <v>299</v>
      </c>
      <c r="F145" s="33" t="n">
        <v>0.645833333333333</v>
      </c>
      <c r="G145" s="33" t="n">
        <v>0.708333333333333</v>
      </c>
      <c r="H145" s="40" t="n">
        <f aca="false">(G145-F145)*24</f>
        <v>1.5</v>
      </c>
    </row>
    <row r="146" customFormat="false" ht="15" hidden="false" customHeight="false" outlineLevel="0" collapsed="false">
      <c r="A146" s="32" t="s">
        <v>135</v>
      </c>
      <c r="B146" s="32" t="s">
        <v>42</v>
      </c>
      <c r="C146" s="48" t="s">
        <v>330</v>
      </c>
      <c r="D146" s="32" t="s">
        <v>94</v>
      </c>
      <c r="E146" s="32" t="s">
        <v>329</v>
      </c>
      <c r="F146" s="33" t="n">
        <v>0.5</v>
      </c>
      <c r="G146" s="33" t="n">
        <v>0.583333333333333</v>
      </c>
      <c r="H146" s="40" t="n">
        <f aca="false">(G146-F146)*24</f>
        <v>2</v>
      </c>
    </row>
    <row r="147" customFormat="false" ht="15" hidden="false" customHeight="false" outlineLevel="0" collapsed="false">
      <c r="A147" s="32" t="s">
        <v>135</v>
      </c>
      <c r="B147" s="32" t="s">
        <v>42</v>
      </c>
      <c r="C147" s="48" t="s">
        <v>330</v>
      </c>
      <c r="D147" s="32" t="s">
        <v>94</v>
      </c>
      <c r="E147" s="32" t="s">
        <v>301</v>
      </c>
      <c r="F147" s="33" t="n">
        <v>0.625</v>
      </c>
      <c r="G147" s="33" t="n">
        <v>0.708333333333333</v>
      </c>
      <c r="H147" s="40" t="n">
        <f aca="false">(G147-F147)*24</f>
        <v>2</v>
      </c>
    </row>
    <row r="148" customFormat="false" ht="15" hidden="false" customHeight="false" outlineLevel="0" collapsed="false">
      <c r="A148" s="32" t="s">
        <v>135</v>
      </c>
      <c r="B148" s="32" t="s">
        <v>42</v>
      </c>
      <c r="C148" s="48" t="s">
        <v>330</v>
      </c>
      <c r="D148" s="32" t="s">
        <v>105</v>
      </c>
      <c r="E148" s="32" t="s">
        <v>300</v>
      </c>
      <c r="F148" s="33" t="n">
        <v>0.541666666666667</v>
      </c>
      <c r="G148" s="33" t="n">
        <v>0.625</v>
      </c>
      <c r="H148" s="40" t="n">
        <f aca="false">(G148-F148)*24</f>
        <v>2</v>
      </c>
    </row>
    <row r="149" customFormat="false" ht="15" hidden="false" customHeight="false" outlineLevel="0" collapsed="false">
      <c r="A149" s="32" t="s">
        <v>135</v>
      </c>
      <c r="B149" s="32" t="s">
        <v>42</v>
      </c>
      <c r="C149" s="48" t="s">
        <v>330</v>
      </c>
      <c r="D149" s="32" t="s">
        <v>117</v>
      </c>
      <c r="E149" s="32" t="s">
        <v>306</v>
      </c>
      <c r="F149" s="33" t="n">
        <v>0.479166666666667</v>
      </c>
      <c r="G149" s="33" t="n">
        <v>0.5625</v>
      </c>
      <c r="H149" s="40" t="n">
        <f aca="false">(G149-F149)*24</f>
        <v>2</v>
      </c>
    </row>
    <row r="150" customFormat="false" ht="15" hidden="false" customHeight="false" outlineLevel="0" collapsed="false">
      <c r="A150" s="32" t="s">
        <v>135</v>
      </c>
      <c r="B150" s="32" t="s">
        <v>42</v>
      </c>
      <c r="C150" s="48" t="s">
        <v>330</v>
      </c>
      <c r="D150" s="32" t="s">
        <v>117</v>
      </c>
      <c r="E150" s="32" t="s">
        <v>307</v>
      </c>
      <c r="F150" s="33" t="n">
        <v>0.625</v>
      </c>
      <c r="G150" s="33" t="n">
        <v>0.666666666666667</v>
      </c>
      <c r="H150" s="40" t="n">
        <f aca="false">(G150-F150)*24</f>
        <v>1</v>
      </c>
    </row>
    <row r="151" customFormat="false" ht="15" hidden="false" customHeight="false" outlineLevel="0" collapsed="false">
      <c r="A151" s="32" t="s">
        <v>135</v>
      </c>
      <c r="B151" s="32" t="s">
        <v>42</v>
      </c>
      <c r="C151" s="48" t="s">
        <v>330</v>
      </c>
      <c r="D151" s="32" t="s">
        <v>118</v>
      </c>
      <c r="E151" s="32" t="s">
        <v>308</v>
      </c>
      <c r="F151" s="33" t="n">
        <v>0.375</v>
      </c>
      <c r="G151" s="33" t="n">
        <v>0.479166666666667</v>
      </c>
      <c r="H151" s="40" t="n">
        <f aca="false">(G151-F151)*24</f>
        <v>2.5</v>
      </c>
    </row>
    <row r="152" customFormat="false" ht="15" hidden="false" customHeight="false" outlineLevel="0" collapsed="false">
      <c r="A152" s="32" t="s">
        <v>135</v>
      </c>
      <c r="B152" s="32" t="s">
        <v>42</v>
      </c>
      <c r="C152" s="48" t="s">
        <v>330</v>
      </c>
      <c r="D152" s="32" t="s">
        <v>118</v>
      </c>
      <c r="E152" s="32" t="s">
        <v>309</v>
      </c>
      <c r="F152" s="33" t="n">
        <v>0.510416666666667</v>
      </c>
      <c r="G152" s="33" t="n">
        <v>0.59375</v>
      </c>
      <c r="H152" s="40" t="n">
        <f aca="false">(G152-F152)*24</f>
        <v>2</v>
      </c>
    </row>
    <row r="153" customFormat="false" ht="15" hidden="false" customHeight="false" outlineLevel="0" collapsed="false">
      <c r="A153" s="32" t="s">
        <v>135</v>
      </c>
      <c r="B153" s="32" t="s">
        <v>42</v>
      </c>
      <c r="C153" s="48" t="s">
        <v>331</v>
      </c>
      <c r="D153" s="32" t="s">
        <v>70</v>
      </c>
      <c r="E153" s="32" t="s">
        <v>305</v>
      </c>
      <c r="F153" s="33" t="n">
        <v>0.5</v>
      </c>
      <c r="G153" s="33" t="n">
        <v>0.5625</v>
      </c>
      <c r="H153" s="40" t="n">
        <f aca="false">(G153-F153)*24</f>
        <v>1.5</v>
      </c>
    </row>
    <row r="154" customFormat="false" ht="15" hidden="false" customHeight="false" outlineLevel="0" collapsed="false">
      <c r="A154" s="32" t="s">
        <v>135</v>
      </c>
      <c r="B154" s="32" t="s">
        <v>42</v>
      </c>
      <c r="C154" s="48" t="s">
        <v>331</v>
      </c>
      <c r="D154" s="32" t="s">
        <v>70</v>
      </c>
      <c r="E154" s="32" t="s">
        <v>299</v>
      </c>
      <c r="F154" s="33" t="n">
        <v>0.645833333333333</v>
      </c>
      <c r="G154" s="33" t="n">
        <v>0.708333333333333</v>
      </c>
      <c r="H154" s="40" t="n">
        <f aca="false">(G154-F154)*24</f>
        <v>1.5</v>
      </c>
    </row>
    <row r="155" customFormat="false" ht="15" hidden="false" customHeight="false" outlineLevel="0" collapsed="false">
      <c r="A155" s="32" t="s">
        <v>135</v>
      </c>
      <c r="B155" s="32" t="s">
        <v>42</v>
      </c>
      <c r="C155" s="48" t="s">
        <v>331</v>
      </c>
      <c r="D155" s="32" t="s">
        <v>94</v>
      </c>
      <c r="E155" s="32" t="s">
        <v>329</v>
      </c>
      <c r="F155" s="33" t="n">
        <v>0.5</v>
      </c>
      <c r="G155" s="33" t="n">
        <v>0.583333333333333</v>
      </c>
      <c r="H155" s="40" t="n">
        <f aca="false">(G155-F155)*24</f>
        <v>2</v>
      </c>
    </row>
    <row r="156" customFormat="false" ht="15" hidden="false" customHeight="false" outlineLevel="0" collapsed="false">
      <c r="A156" s="32" t="s">
        <v>135</v>
      </c>
      <c r="B156" s="32" t="s">
        <v>42</v>
      </c>
      <c r="C156" s="48" t="s">
        <v>331</v>
      </c>
      <c r="D156" s="32" t="s">
        <v>94</v>
      </c>
      <c r="E156" s="32" t="s">
        <v>301</v>
      </c>
      <c r="F156" s="33" t="n">
        <v>0.625</v>
      </c>
      <c r="G156" s="33" t="n">
        <v>0.708333333333333</v>
      </c>
      <c r="H156" s="40" t="n">
        <f aca="false">(G156-F156)*24</f>
        <v>2</v>
      </c>
    </row>
    <row r="157" customFormat="false" ht="15" hidden="false" customHeight="false" outlineLevel="0" collapsed="false">
      <c r="A157" s="32" t="s">
        <v>135</v>
      </c>
      <c r="B157" s="32" t="s">
        <v>42</v>
      </c>
      <c r="C157" s="48" t="s">
        <v>331</v>
      </c>
      <c r="D157" s="32" t="s">
        <v>105</v>
      </c>
      <c r="E157" s="32" t="s">
        <v>300</v>
      </c>
      <c r="F157" s="33" t="n">
        <v>0.541666666666667</v>
      </c>
      <c r="G157" s="33" t="n">
        <v>0.625</v>
      </c>
      <c r="H157" s="40" t="n">
        <f aca="false">(G157-F157)*24</f>
        <v>2</v>
      </c>
    </row>
    <row r="158" customFormat="false" ht="15" hidden="false" customHeight="false" outlineLevel="0" collapsed="false">
      <c r="A158" s="32" t="s">
        <v>135</v>
      </c>
      <c r="B158" s="32" t="s">
        <v>42</v>
      </c>
      <c r="C158" s="48" t="s">
        <v>331</v>
      </c>
      <c r="D158" s="32" t="s">
        <v>117</v>
      </c>
      <c r="E158" s="32" t="s">
        <v>306</v>
      </c>
      <c r="F158" s="33" t="n">
        <v>0.479166666666667</v>
      </c>
      <c r="G158" s="33" t="n">
        <v>0.5625</v>
      </c>
      <c r="H158" s="40" t="n">
        <f aca="false">(G158-F158)*24</f>
        <v>2</v>
      </c>
    </row>
    <row r="159" customFormat="false" ht="15" hidden="false" customHeight="false" outlineLevel="0" collapsed="false">
      <c r="A159" s="32" t="s">
        <v>135</v>
      </c>
      <c r="B159" s="32" t="s">
        <v>42</v>
      </c>
      <c r="C159" s="48" t="s">
        <v>331</v>
      </c>
      <c r="D159" s="32" t="s">
        <v>117</v>
      </c>
      <c r="E159" s="32" t="s">
        <v>307</v>
      </c>
      <c r="F159" s="33" t="n">
        <v>0.625</v>
      </c>
      <c r="G159" s="33" t="n">
        <v>0.666666666666667</v>
      </c>
      <c r="H159" s="40" t="n">
        <f aca="false">(G159-F159)*24</f>
        <v>1</v>
      </c>
    </row>
    <row r="160" customFormat="false" ht="15" hidden="false" customHeight="false" outlineLevel="0" collapsed="false">
      <c r="A160" s="32" t="s">
        <v>135</v>
      </c>
      <c r="B160" s="32" t="s">
        <v>42</v>
      </c>
      <c r="C160" s="48" t="s">
        <v>331</v>
      </c>
      <c r="D160" s="32" t="s">
        <v>118</v>
      </c>
      <c r="E160" s="32" t="s">
        <v>308</v>
      </c>
      <c r="F160" s="33" t="n">
        <v>0.375</v>
      </c>
      <c r="G160" s="33" t="n">
        <v>0.479166666666667</v>
      </c>
      <c r="H160" s="40" t="n">
        <f aca="false">(G160-F160)*24</f>
        <v>2.5</v>
      </c>
    </row>
    <row r="161" customFormat="false" ht="15" hidden="false" customHeight="false" outlineLevel="0" collapsed="false">
      <c r="A161" s="32" t="s">
        <v>135</v>
      </c>
      <c r="B161" s="32" t="s">
        <v>42</v>
      </c>
      <c r="C161" s="48" t="s">
        <v>331</v>
      </c>
      <c r="D161" s="32" t="s">
        <v>118</v>
      </c>
      <c r="E161" s="32" t="s">
        <v>309</v>
      </c>
      <c r="F161" s="33" t="n">
        <v>0.510416666666667</v>
      </c>
      <c r="G161" s="33" t="n">
        <v>0.552083333333333</v>
      </c>
      <c r="H161" s="40" t="n">
        <f aca="false">(G161-F161)*24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2026-10-21T17:49:53Z</dcterms:created>
  <dc:creator>openpyxl</dc:creator>
  <dc:description/>
  <dc:language>en-US</dc:language>
  <cp:lastModifiedBy/>
  <dcterms:modified xsi:type="dcterms:W3CDTF">2026-10-21T17:49:58Z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